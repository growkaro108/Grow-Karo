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45" windowHeight="10395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 l="1"/>
  <c r="D71" i="1"/>
  <c r="F69" i="1" l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71" i="1" l="1"/>
  <c r="G52" i="1"/>
  <c r="G19" i="1"/>
  <c r="G71" i="1" l="1"/>
</calcChain>
</file>

<file path=xl/sharedStrings.xml><?xml version="1.0" encoding="utf-8"?>
<sst xmlns="http://schemas.openxmlformats.org/spreadsheetml/2006/main" count="19" uniqueCount="19">
  <si>
    <t xml:space="preserve">Groow Karo Daily Deposit </t>
  </si>
  <si>
    <t>Client Name:</t>
  </si>
  <si>
    <t>Starting Date:</t>
  </si>
  <si>
    <t>Ending Date:</t>
  </si>
  <si>
    <t>Mobile No.:</t>
  </si>
  <si>
    <t>Bond No. :</t>
  </si>
  <si>
    <t>Tenure:</t>
  </si>
  <si>
    <t xml:space="preserve">Date </t>
  </si>
  <si>
    <t>Days</t>
  </si>
  <si>
    <t>Tenure Day</t>
  </si>
  <si>
    <t>Deposit</t>
  </si>
  <si>
    <t>Percentage</t>
  </si>
  <si>
    <t>Profit</t>
  </si>
  <si>
    <t xml:space="preserve">Total Blance </t>
  </si>
  <si>
    <t>Total Deposit</t>
  </si>
  <si>
    <t>Total Profit</t>
  </si>
  <si>
    <t>60M</t>
  </si>
  <si>
    <t>BIBI MERAJI</t>
  </si>
  <si>
    <t>GKSIP0021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</si>
</sst>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0_);[Red]\(0\)"/>
    <numFmt numFmtId="165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Font="1" applyFill="1" applyAlignment="1"/>
    <xf numFmtId="43" fontId="0" fillId="0" borderId="0" xfId="1" applyFont="1" applyFill="1" applyAlignment="1"/>
    <xf numFmtId="0" fontId="0" fillId="2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43" fontId="4" fillId="3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/>
    <xf numFmtId="43" fontId="0" fillId="0" borderId="2" xfId="1" applyFont="1" applyBorder="1" applyAlignment="1"/>
    <xf numFmtId="165" fontId="0" fillId="0" borderId="2" xfId="1" applyNumberFormat="1" applyFont="1" applyBorder="1" applyAlignment="1">
      <alignment horizontal="center" vertical="center"/>
    </xf>
    <xf numFmtId="43" fontId="0" fillId="0" borderId="2" xfId="0" applyNumberFormat="1" applyFont="1" applyFill="1" applyBorder="1" applyAlignment="1"/>
    <xf numFmtId="0" fontId="4" fillId="3" borderId="2" xfId="0" applyFont="1" applyFill="1" applyBorder="1" applyAlignment="1"/>
    <xf numFmtId="43" fontId="4" fillId="3" borderId="2" xfId="1" applyFont="1" applyFill="1" applyBorder="1" applyAlignment="1"/>
    <xf numFmtId="43" fontId="4" fillId="3" borderId="2" xfId="0" applyNumberFormat="1" applyFont="1" applyFill="1" applyBorder="1" applyAlignment="1"/>
    <xf numFmtId="0" fontId="4" fillId="3" borderId="2" xfId="0" applyFont="1" applyFill="1" applyBorder="1"/>
    <xf numFmtId="165" fontId="4" fillId="3" borderId="2" xfId="0" applyNumberFormat="1" applyFont="1" applyFill="1" applyBorder="1" applyAlignment="1"/>
    <xf numFmtId="0" fontId="4" fillId="2" borderId="2" xfId="0" applyFont="1" applyFill="1" applyBorder="1"/>
    <xf numFmtId="0" fontId="4" fillId="2" borderId="2" xfId="0" applyFont="1" applyFill="1" applyBorder="1" applyAlignment="1"/>
    <xf numFmtId="43" fontId="4" fillId="2" borderId="2" xfId="1" applyFont="1" applyFill="1" applyBorder="1" applyAlignment="1"/>
    <xf numFmtId="165" fontId="4" fillId="2" borderId="2" xfId="0" applyNumberFormat="1" applyFont="1" applyFill="1" applyBorder="1" applyAlignment="1"/>
    <xf numFmtId="43" fontId="4" fillId="2" borderId="2" xfId="0" applyNumberFormat="1" applyFont="1" applyFill="1" applyBorder="1" applyAlignment="1"/>
    <xf numFmtId="14" fontId="0" fillId="0" borderId="2" xfId="0" applyNumberFormat="1" applyBorder="1" applyAlignment="1">
      <alignment horizontal="center"/>
    </xf>
    <xf numFmtId="10" fontId="0" fillId="0" borderId="2" xfId="0" applyNumberFormat="1" applyFont="1" applyFill="1" applyBorder="1" applyAlignment="1"/>
    <xf numFmtId="0" fontId="0" fillId="0" borderId="0" xfId="0" applyFont="1" applyFill="1" applyBorder="1" applyAlignment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Font="1" applyFill="1" applyBorder="1" applyAlignment="1">
      <alignment horizontal="left"/>
    </xf>
    <xf numFmtId="43" fontId="0" fillId="0" borderId="6" xfId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43" fontId="0" fillId="2" borderId="9" xfId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4" fontId="2" fillId="0" borderId="6" xfId="1" applyNumberFormat="1" applyFont="1" applyFill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164" fontId="0" fillId="0" borderId="6" xfId="1" applyNumberFormat="1" applyFont="1" applyFill="1" applyBorder="1" applyAlignment="1">
      <alignment horizontal="center"/>
    </xf>
    <xf numFmtId="164" fontId="0" fillId="0" borderId="7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43" fontId="1" fillId="0" borderId="3" xfId="1" applyFont="1" applyFill="1" applyBorder="1" applyAlignment="1">
      <alignment horizontal="center"/>
    </xf>
    <xf numFmtId="43" fontId="1" fillId="0" borderId="6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41DB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161290</xdr:colOff>
      <xdr:row>1</xdr:row>
      <xdr:rowOff>49530</xdr:rowOff>
    </xdr:from>
    <xdr:to>
      <xdr:col>6</xdr:col>
      <xdr:colOff>713740</xdr:colOff>
      <xdr:row>6</xdr:row>
      <xdr:rowOff>139065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8" t="13964" r="5271" b="21097"/>
        <a:stretch>
          <a:fillRect/>
        </a:stretch>
      </xdr:blipFill>
      <xdr:spPr>
        <a:xfrm>
          <a:off x="3939540" y="417830"/>
          <a:ext cx="1285240" cy="1010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71"/>
  <sheetViews>
    <sheetView tabSelected="1" workbookViewId="0">
      <selection activeCell="J15" sqref="J15"/>
    </sheetView>
  </sheetViews>
  <sheetFormatPr defaultColWidth="8.7109375" defaultRowHeight="15"/>
  <cols>
    <col min="1" max="1" width="11"/>
    <col min="2" max="2" width="6.85546875" style="1" customWidth="1"/>
    <col min="3" max="3" width="12.42578125" style="1" customWidth="1"/>
    <col min="4" max="4" width="11.5703125" style="2" customWidth="1"/>
    <col min="5" max="5" width="12.28515625" style="1" customWidth="1"/>
    <col min="6" max="6" width="10.42578125" style="1" bestFit="1" customWidth="1"/>
    <col min="7" max="7" width="13.5703125" style="1" customWidth="1"/>
    <col min="8" max="8" width="8.7109375" style="1" customWidth="1"/>
    <col min="9" max="10" width="10.28515625" style="1" bestFit="1" customWidth="1"/>
    <col min="11" max="16378" width="8.7109375" style="1"/>
  </cols>
  <sheetData>
    <row r="1" spans="1:13" s="1" customFormat="1" ht="29.1" customHeight="1">
      <c r="A1" s="40" t="s">
        <v>0</v>
      </c>
      <c r="B1" s="40"/>
      <c r="C1" s="40"/>
      <c r="D1" s="41"/>
      <c r="E1" s="40"/>
      <c r="F1" s="40"/>
      <c r="G1" s="42"/>
      <c r="I1" s="22"/>
      <c r="J1" s="22"/>
      <c r="K1" s="22"/>
      <c r="L1" s="22"/>
      <c r="M1" s="22"/>
    </row>
    <row r="2" spans="1:13" s="1" customFormat="1">
      <c r="A2" s="26" t="s">
        <v>1</v>
      </c>
      <c r="B2" s="26"/>
      <c r="C2" s="26"/>
      <c r="D2" s="44" t="s">
        <v>17</v>
      </c>
      <c r="E2" s="43"/>
      <c r="F2" s="34"/>
      <c r="G2" s="34"/>
      <c r="I2" s="22"/>
      <c r="J2" s="22"/>
      <c r="K2" s="22"/>
      <c r="L2" s="22"/>
      <c r="M2" s="22"/>
    </row>
    <row r="3" spans="1:13" s="1" customFormat="1">
      <c r="A3" s="26" t="s">
        <v>2</v>
      </c>
      <c r="B3" s="26"/>
      <c r="C3" s="26"/>
      <c r="D3" s="36">
        <v>46285</v>
      </c>
      <c r="E3" s="37"/>
      <c r="F3" s="35"/>
      <c r="G3" s="35"/>
      <c r="I3" s="22"/>
      <c r="J3" s="22"/>
      <c r="K3" s="22"/>
      <c r="L3" s="22"/>
      <c r="M3" s="22"/>
    </row>
    <row r="4" spans="1:13" s="1" customFormat="1">
      <c r="A4" s="26" t="s">
        <v>3</v>
      </c>
      <c r="B4" s="26"/>
      <c r="C4" s="26"/>
      <c r="D4" s="36">
        <v>48080</v>
      </c>
      <c r="E4" s="37"/>
      <c r="F4" s="35"/>
      <c r="G4" s="35"/>
      <c r="I4" s="22"/>
      <c r="J4" s="22"/>
      <c r="K4" s="22"/>
      <c r="L4" s="22"/>
      <c r="M4" s="22"/>
    </row>
    <row r="5" spans="1:13" s="1" customFormat="1">
      <c r="A5" s="26" t="s">
        <v>4</v>
      </c>
      <c r="B5" s="26"/>
      <c r="C5" s="26"/>
      <c r="D5" s="38"/>
      <c r="E5" s="39"/>
      <c r="F5" s="35"/>
      <c r="G5" s="35"/>
      <c r="I5" s="22"/>
      <c r="J5" s="23"/>
      <c r="K5" s="23"/>
      <c r="L5" s="24"/>
      <c r="M5" s="22"/>
    </row>
    <row r="6" spans="1:13" s="1" customFormat="1">
      <c r="A6" s="26" t="s">
        <v>5</v>
      </c>
      <c r="B6" s="26"/>
      <c r="C6" s="26"/>
      <c r="D6" s="45" t="s">
        <v>18</v>
      </c>
      <c r="E6" s="28"/>
      <c r="F6" s="35"/>
      <c r="G6" s="35"/>
      <c r="I6" s="22"/>
      <c r="J6" s="22"/>
      <c r="K6" s="22"/>
      <c r="L6" s="22"/>
      <c r="M6" s="22"/>
    </row>
    <row r="7" spans="1:13" s="1" customFormat="1">
      <c r="A7" s="26" t="s">
        <v>6</v>
      </c>
      <c r="B7" s="26"/>
      <c r="C7" s="26"/>
      <c r="D7" s="27" t="s">
        <v>16</v>
      </c>
      <c r="E7" s="28"/>
      <c r="F7" s="35"/>
      <c r="G7" s="35"/>
      <c r="I7" s="22"/>
      <c r="J7" s="22"/>
      <c r="K7" s="22"/>
      <c r="L7" s="22"/>
      <c r="M7" s="22"/>
    </row>
    <row r="8" spans="1:13" s="1" customFormat="1">
      <c r="A8" s="29"/>
      <c r="B8" s="30"/>
      <c r="C8" s="30"/>
      <c r="D8" s="31"/>
      <c r="E8" s="32"/>
      <c r="F8" s="33"/>
      <c r="G8" s="3"/>
      <c r="I8" s="22"/>
      <c r="J8" s="22"/>
      <c r="K8" s="22"/>
      <c r="L8" s="22"/>
      <c r="M8" s="22"/>
    </row>
    <row r="9" spans="1:13" s="1" customFormat="1">
      <c r="A9" s="4" t="s">
        <v>7</v>
      </c>
      <c r="B9" s="4" t="s">
        <v>8</v>
      </c>
      <c r="C9" s="4" t="s">
        <v>9</v>
      </c>
      <c r="D9" s="5" t="s">
        <v>10</v>
      </c>
      <c r="E9" s="4" t="s">
        <v>11</v>
      </c>
      <c r="F9" s="4" t="s">
        <v>12</v>
      </c>
      <c r="G9" s="4" t="s">
        <v>13</v>
      </c>
      <c r="I9" s="22"/>
      <c r="J9" s="22"/>
      <c r="K9" s="22"/>
      <c r="L9" s="22"/>
      <c r="M9" s="22"/>
    </row>
    <row r="10" spans="1:13" s="1" customFormat="1">
      <c r="A10" s="20">
        <v>46285</v>
      </c>
      <c r="B10" s="6">
        <v>60</v>
      </c>
      <c r="C10" s="6">
        <v>60</v>
      </c>
      <c r="D10" s="7">
        <v>1000</v>
      </c>
      <c r="E10" s="21">
        <v>1.3115000000000001</v>
      </c>
      <c r="F10" s="8">
        <f>+D10*E10/C10*B10</f>
        <v>1311.5</v>
      </c>
      <c r="G10" s="9">
        <f>D10+F10</f>
        <v>2311.5</v>
      </c>
      <c r="I10" s="22"/>
      <c r="J10" s="22"/>
      <c r="K10" s="22"/>
      <c r="L10" s="22"/>
      <c r="M10" s="22"/>
    </row>
    <row r="11" spans="1:13" s="1" customFormat="1">
      <c r="A11" s="20">
        <v>46315</v>
      </c>
      <c r="B11" s="6">
        <v>59</v>
      </c>
      <c r="C11" s="6">
        <v>60</v>
      </c>
      <c r="D11" s="7"/>
      <c r="E11" s="21">
        <v>1.3115000000000001</v>
      </c>
      <c r="F11" s="8">
        <f>+D11*E11/C11*B11</f>
        <v>0</v>
      </c>
      <c r="G11" s="9">
        <f>D11+F11</f>
        <v>0</v>
      </c>
      <c r="I11" s="22"/>
      <c r="J11" s="22"/>
      <c r="K11" s="22"/>
      <c r="L11" s="22"/>
      <c r="M11" s="22"/>
    </row>
    <row r="12" spans="1:13" s="1" customFormat="1">
      <c r="A12" s="20">
        <v>46346</v>
      </c>
      <c r="B12" s="6">
        <v>58</v>
      </c>
      <c r="C12" s="6">
        <v>60</v>
      </c>
      <c r="D12" s="7"/>
      <c r="E12" s="21">
        <v>1.3115000000000001</v>
      </c>
      <c r="F12" s="8">
        <f t="shared" ref="F12:F18" si="0">+D12*E12/C12*B12</f>
        <v>0</v>
      </c>
      <c r="G12" s="9">
        <f t="shared" ref="G12:G18" si="1">D12+F12</f>
        <v>0</v>
      </c>
      <c r="I12" s="22"/>
      <c r="J12" s="22"/>
      <c r="K12" s="22"/>
      <c r="L12" s="22"/>
      <c r="M12" s="22"/>
    </row>
    <row r="13" spans="1:13" s="1" customFormat="1">
      <c r="A13" s="20">
        <v>46376</v>
      </c>
      <c r="B13" s="6">
        <v>57</v>
      </c>
      <c r="C13" s="6">
        <v>60</v>
      </c>
      <c r="D13" s="7"/>
      <c r="E13" s="21">
        <v>1.3115000000000001</v>
      </c>
      <c r="F13" s="8">
        <f t="shared" si="0"/>
        <v>0</v>
      </c>
      <c r="G13" s="9">
        <f t="shared" si="1"/>
        <v>0</v>
      </c>
      <c r="I13" s="22"/>
      <c r="J13" s="22"/>
      <c r="K13" s="22"/>
      <c r="L13" s="22"/>
      <c r="M13" s="22"/>
    </row>
    <row r="14" spans="1:13" s="1" customFormat="1">
      <c r="A14" s="20">
        <v>46407</v>
      </c>
      <c r="B14" s="6">
        <v>56</v>
      </c>
      <c r="C14" s="6">
        <v>60</v>
      </c>
      <c r="D14" s="7"/>
      <c r="E14" s="21">
        <v>1.3115000000000001</v>
      </c>
      <c r="F14" s="8">
        <f t="shared" si="0"/>
        <v>0</v>
      </c>
      <c r="G14" s="9">
        <f t="shared" si="1"/>
        <v>0</v>
      </c>
      <c r="I14" s="25"/>
      <c r="J14" s="25"/>
      <c r="K14" s="24"/>
      <c r="L14" s="22"/>
      <c r="M14" s="22"/>
    </row>
    <row r="15" spans="1:13" s="1" customFormat="1">
      <c r="A15" s="20">
        <v>46438</v>
      </c>
      <c r="B15" s="6">
        <v>55</v>
      </c>
      <c r="C15" s="6">
        <v>60</v>
      </c>
      <c r="D15" s="7"/>
      <c r="E15" s="21">
        <v>1.3115000000000001</v>
      </c>
      <c r="F15" s="8">
        <f t="shared" si="0"/>
        <v>0</v>
      </c>
      <c r="G15" s="9">
        <f t="shared" si="1"/>
        <v>0</v>
      </c>
      <c r="I15" s="22"/>
      <c r="J15" s="22"/>
      <c r="K15" s="22"/>
      <c r="L15" s="22"/>
      <c r="M15" s="22"/>
    </row>
    <row r="16" spans="1:13" s="1" customFormat="1">
      <c r="A16" s="20">
        <v>46466</v>
      </c>
      <c r="B16" s="6">
        <v>54</v>
      </c>
      <c r="C16" s="6">
        <v>60</v>
      </c>
      <c r="D16" s="7"/>
      <c r="E16" s="21">
        <v>1.3115000000000001</v>
      </c>
      <c r="F16" s="8">
        <f t="shared" si="0"/>
        <v>0</v>
      </c>
      <c r="G16" s="9">
        <f t="shared" si="1"/>
        <v>0</v>
      </c>
      <c r="I16" s="22"/>
      <c r="J16" s="22"/>
      <c r="K16" s="22"/>
      <c r="L16" s="22"/>
      <c r="M16" s="22"/>
    </row>
    <row r="17" spans="1:13" s="1" customFormat="1">
      <c r="A17" s="20">
        <v>46497</v>
      </c>
      <c r="B17" s="6">
        <v>53</v>
      </c>
      <c r="C17" s="6">
        <v>60</v>
      </c>
      <c r="D17" s="7"/>
      <c r="E17" s="21">
        <v>1.3115000000000001</v>
      </c>
      <c r="F17" s="8">
        <f t="shared" si="0"/>
        <v>0</v>
      </c>
      <c r="G17" s="9">
        <f t="shared" si="1"/>
        <v>0</v>
      </c>
      <c r="I17" s="22"/>
      <c r="J17" s="22"/>
      <c r="K17" s="22"/>
      <c r="L17" s="22"/>
      <c r="M17" s="22"/>
    </row>
    <row r="18" spans="1:13" s="1" customFormat="1">
      <c r="A18" s="20">
        <v>46527</v>
      </c>
      <c r="B18" s="6">
        <v>52</v>
      </c>
      <c r="C18" s="6">
        <v>60</v>
      </c>
      <c r="D18" s="7"/>
      <c r="E18" s="21">
        <v>1.3115000000000001</v>
      </c>
      <c r="F18" s="8">
        <f t="shared" si="0"/>
        <v>0</v>
      </c>
      <c r="G18" s="9">
        <f t="shared" si="1"/>
        <v>0</v>
      </c>
      <c r="I18" s="22"/>
      <c r="J18" s="22"/>
      <c r="K18" s="22"/>
      <c r="L18" s="22"/>
      <c r="M18" s="22"/>
    </row>
    <row r="19" spans="1:13" s="1" customFormat="1">
      <c r="A19" s="20">
        <v>46558</v>
      </c>
      <c r="B19" s="6">
        <v>51</v>
      </c>
      <c r="C19" s="6">
        <v>60</v>
      </c>
      <c r="D19" s="7"/>
      <c r="E19" s="21">
        <v>1.3115000000000001</v>
      </c>
      <c r="F19" s="8">
        <f>+D19*E19/C19*B19</f>
        <v>0</v>
      </c>
      <c r="G19" s="9">
        <f>D19+F19</f>
        <v>0</v>
      </c>
    </row>
    <row r="20" spans="1:13" s="1" customFormat="1">
      <c r="A20" s="20">
        <v>46588</v>
      </c>
      <c r="B20" s="6">
        <v>50</v>
      </c>
      <c r="C20" s="6">
        <v>60</v>
      </c>
      <c r="D20" s="7"/>
      <c r="E20" s="21">
        <v>1.3115000000000001</v>
      </c>
      <c r="F20" s="8">
        <f>+D20*E20/C20*B20</f>
        <v>0</v>
      </c>
      <c r="G20" s="9">
        <f>D20+F20</f>
        <v>0</v>
      </c>
    </row>
    <row r="21" spans="1:13" s="1" customFormat="1">
      <c r="A21" s="20">
        <v>46619</v>
      </c>
      <c r="B21" s="6">
        <v>49</v>
      </c>
      <c r="C21" s="6">
        <v>60</v>
      </c>
      <c r="D21" s="7"/>
      <c r="E21" s="21">
        <v>1.3115000000000001</v>
      </c>
      <c r="F21" s="8">
        <f>+D21*E21/C21*B21</f>
        <v>0</v>
      </c>
      <c r="G21" s="9">
        <f>D21+F21</f>
        <v>0</v>
      </c>
    </row>
    <row r="22" spans="1:13" s="1" customFormat="1">
      <c r="A22" s="20">
        <v>46650</v>
      </c>
      <c r="B22" s="6">
        <v>48</v>
      </c>
      <c r="C22" s="6">
        <v>60</v>
      </c>
      <c r="D22" s="7"/>
      <c r="E22" s="21">
        <v>1.3115000000000001</v>
      </c>
      <c r="F22" s="8">
        <f t="shared" ref="F22:F49" si="2">+D22*E22/C22*B22</f>
        <v>0</v>
      </c>
      <c r="G22" s="9">
        <f t="shared" ref="G22:G49" si="3">D22+F22</f>
        <v>0</v>
      </c>
    </row>
    <row r="23" spans="1:13" s="1" customFormat="1">
      <c r="A23" s="20">
        <v>46680</v>
      </c>
      <c r="B23" s="6">
        <v>47</v>
      </c>
      <c r="C23" s="6">
        <v>60</v>
      </c>
      <c r="D23" s="7"/>
      <c r="E23" s="21">
        <v>1.3115000000000001</v>
      </c>
      <c r="F23" s="8">
        <f t="shared" si="2"/>
        <v>0</v>
      </c>
      <c r="G23" s="9">
        <f t="shared" si="3"/>
        <v>0</v>
      </c>
    </row>
    <row r="24" spans="1:13" s="1" customFormat="1">
      <c r="A24" s="20">
        <v>46711</v>
      </c>
      <c r="B24" s="6">
        <v>46</v>
      </c>
      <c r="C24" s="6">
        <v>60</v>
      </c>
      <c r="D24" s="7"/>
      <c r="E24" s="21">
        <v>1.3115000000000001</v>
      </c>
      <c r="F24" s="8">
        <f t="shared" si="2"/>
        <v>0</v>
      </c>
      <c r="G24" s="9">
        <f t="shared" si="3"/>
        <v>0</v>
      </c>
    </row>
    <row r="25" spans="1:13" s="1" customFormat="1">
      <c r="A25" s="20">
        <v>46741</v>
      </c>
      <c r="B25" s="6">
        <v>45</v>
      </c>
      <c r="C25" s="6">
        <v>60</v>
      </c>
      <c r="D25" s="7"/>
      <c r="E25" s="21">
        <v>1.3115000000000001</v>
      </c>
      <c r="F25" s="8">
        <f t="shared" si="2"/>
        <v>0</v>
      </c>
      <c r="G25" s="9">
        <f t="shared" si="3"/>
        <v>0</v>
      </c>
    </row>
    <row r="26" spans="1:13" s="1" customFormat="1">
      <c r="A26" s="20">
        <v>46772</v>
      </c>
      <c r="B26" s="6">
        <v>44</v>
      </c>
      <c r="C26" s="6">
        <v>60</v>
      </c>
      <c r="D26" s="7"/>
      <c r="E26" s="21">
        <v>1.3115000000000001</v>
      </c>
      <c r="F26" s="8">
        <f t="shared" si="2"/>
        <v>0</v>
      </c>
      <c r="G26" s="9">
        <f t="shared" si="3"/>
        <v>0</v>
      </c>
    </row>
    <row r="27" spans="1:13" s="1" customFormat="1">
      <c r="A27" s="20">
        <v>46803</v>
      </c>
      <c r="B27" s="6">
        <v>43</v>
      </c>
      <c r="C27" s="6">
        <v>60</v>
      </c>
      <c r="D27" s="7"/>
      <c r="E27" s="21">
        <v>1.3115000000000001</v>
      </c>
      <c r="F27" s="8">
        <f t="shared" si="2"/>
        <v>0</v>
      </c>
      <c r="G27" s="9">
        <f t="shared" si="3"/>
        <v>0</v>
      </c>
    </row>
    <row r="28" spans="1:13" s="1" customFormat="1">
      <c r="A28" s="20">
        <v>46832</v>
      </c>
      <c r="B28" s="6">
        <v>42</v>
      </c>
      <c r="C28" s="6">
        <v>60</v>
      </c>
      <c r="D28" s="7"/>
      <c r="E28" s="21">
        <v>1.3115000000000001</v>
      </c>
      <c r="F28" s="8">
        <f t="shared" si="2"/>
        <v>0</v>
      </c>
      <c r="G28" s="9">
        <f t="shared" si="3"/>
        <v>0</v>
      </c>
    </row>
    <row r="29" spans="1:13" s="1" customFormat="1">
      <c r="A29" s="20">
        <v>46863</v>
      </c>
      <c r="B29" s="6">
        <v>41</v>
      </c>
      <c r="C29" s="6">
        <v>60</v>
      </c>
      <c r="D29" s="7"/>
      <c r="E29" s="21">
        <v>1.3115000000000001</v>
      </c>
      <c r="F29" s="8">
        <f t="shared" si="2"/>
        <v>0</v>
      </c>
      <c r="G29" s="9">
        <f t="shared" si="3"/>
        <v>0</v>
      </c>
    </row>
    <row r="30" spans="1:13" s="1" customFormat="1">
      <c r="A30" s="20">
        <v>46893</v>
      </c>
      <c r="B30" s="6">
        <v>40</v>
      </c>
      <c r="C30" s="6">
        <v>60</v>
      </c>
      <c r="D30" s="7"/>
      <c r="E30" s="21">
        <v>1.3115000000000001</v>
      </c>
      <c r="F30" s="8">
        <f t="shared" si="2"/>
        <v>0</v>
      </c>
      <c r="G30" s="9">
        <f t="shared" si="3"/>
        <v>0</v>
      </c>
    </row>
    <row r="31" spans="1:13" s="1" customFormat="1">
      <c r="A31" s="20">
        <v>46924</v>
      </c>
      <c r="B31" s="6">
        <v>39</v>
      </c>
      <c r="C31" s="6">
        <v>60</v>
      </c>
      <c r="D31" s="7"/>
      <c r="E31" s="21">
        <v>1.3115000000000001</v>
      </c>
      <c r="F31" s="8">
        <f t="shared" si="2"/>
        <v>0</v>
      </c>
      <c r="G31" s="9">
        <f t="shared" si="3"/>
        <v>0</v>
      </c>
    </row>
    <row r="32" spans="1:13" s="1" customFormat="1">
      <c r="A32" s="20">
        <v>46954</v>
      </c>
      <c r="B32" s="6">
        <v>38</v>
      </c>
      <c r="C32" s="6">
        <v>60</v>
      </c>
      <c r="D32" s="7"/>
      <c r="E32" s="21">
        <v>1.3115000000000001</v>
      </c>
      <c r="F32" s="8">
        <f t="shared" si="2"/>
        <v>0</v>
      </c>
      <c r="G32" s="9">
        <f t="shared" si="3"/>
        <v>0</v>
      </c>
    </row>
    <row r="33" spans="1:7" s="1" customFormat="1">
      <c r="A33" s="20">
        <v>46985</v>
      </c>
      <c r="B33" s="6">
        <v>37</v>
      </c>
      <c r="C33" s="6">
        <v>60</v>
      </c>
      <c r="D33" s="7"/>
      <c r="E33" s="21">
        <v>1.3115000000000001</v>
      </c>
      <c r="F33" s="8">
        <f t="shared" si="2"/>
        <v>0</v>
      </c>
      <c r="G33" s="9">
        <f t="shared" si="3"/>
        <v>0</v>
      </c>
    </row>
    <row r="34" spans="1:7" s="1" customFormat="1">
      <c r="A34" s="20">
        <v>47016</v>
      </c>
      <c r="B34" s="6">
        <v>36</v>
      </c>
      <c r="C34" s="6">
        <v>60</v>
      </c>
      <c r="D34" s="7"/>
      <c r="E34" s="21">
        <v>1.3115000000000001</v>
      </c>
      <c r="F34" s="8">
        <f t="shared" si="2"/>
        <v>0</v>
      </c>
      <c r="G34" s="9">
        <f t="shared" si="3"/>
        <v>0</v>
      </c>
    </row>
    <row r="35" spans="1:7" s="1" customFormat="1">
      <c r="A35" s="20">
        <v>47046</v>
      </c>
      <c r="B35" s="6">
        <v>35</v>
      </c>
      <c r="C35" s="6">
        <v>60</v>
      </c>
      <c r="D35" s="7"/>
      <c r="E35" s="21">
        <v>1.3115000000000001</v>
      </c>
      <c r="F35" s="8">
        <f t="shared" si="2"/>
        <v>0</v>
      </c>
      <c r="G35" s="9">
        <f t="shared" si="3"/>
        <v>0</v>
      </c>
    </row>
    <row r="36" spans="1:7" s="1" customFormat="1">
      <c r="A36" s="20">
        <v>47077</v>
      </c>
      <c r="B36" s="6">
        <v>34</v>
      </c>
      <c r="C36" s="6">
        <v>60</v>
      </c>
      <c r="D36" s="7"/>
      <c r="E36" s="21">
        <v>1.3115000000000001</v>
      </c>
      <c r="F36" s="8">
        <f t="shared" si="2"/>
        <v>0</v>
      </c>
      <c r="G36" s="9">
        <f t="shared" si="3"/>
        <v>0</v>
      </c>
    </row>
    <row r="37" spans="1:7" s="1" customFormat="1">
      <c r="A37" s="20">
        <v>47107</v>
      </c>
      <c r="B37" s="6">
        <v>33</v>
      </c>
      <c r="C37" s="6">
        <v>60</v>
      </c>
      <c r="D37" s="7"/>
      <c r="E37" s="21">
        <v>1.3115000000000001</v>
      </c>
      <c r="F37" s="8">
        <f t="shared" si="2"/>
        <v>0</v>
      </c>
      <c r="G37" s="9">
        <f t="shared" si="3"/>
        <v>0</v>
      </c>
    </row>
    <row r="38" spans="1:7" s="1" customFormat="1">
      <c r="A38" s="20">
        <v>47138</v>
      </c>
      <c r="B38" s="6">
        <v>32</v>
      </c>
      <c r="C38" s="6">
        <v>60</v>
      </c>
      <c r="D38" s="7"/>
      <c r="E38" s="21">
        <v>1.3115000000000001</v>
      </c>
      <c r="F38" s="8">
        <f t="shared" si="2"/>
        <v>0</v>
      </c>
      <c r="G38" s="9">
        <f t="shared" si="3"/>
        <v>0</v>
      </c>
    </row>
    <row r="39" spans="1:7" s="1" customFormat="1">
      <c r="A39" s="20">
        <v>47169</v>
      </c>
      <c r="B39" s="6">
        <v>31</v>
      </c>
      <c r="C39" s="6">
        <v>60</v>
      </c>
      <c r="D39" s="7"/>
      <c r="E39" s="21">
        <v>1.3115000000000001</v>
      </c>
      <c r="F39" s="8">
        <f t="shared" si="2"/>
        <v>0</v>
      </c>
      <c r="G39" s="9">
        <f t="shared" si="3"/>
        <v>0</v>
      </c>
    </row>
    <row r="40" spans="1:7" s="1" customFormat="1">
      <c r="A40" s="20">
        <v>47197</v>
      </c>
      <c r="B40" s="6">
        <v>30</v>
      </c>
      <c r="C40" s="6">
        <v>60</v>
      </c>
      <c r="D40" s="7"/>
      <c r="E40" s="21">
        <v>1.3115000000000001</v>
      </c>
      <c r="F40" s="8">
        <f t="shared" si="2"/>
        <v>0</v>
      </c>
      <c r="G40" s="9">
        <f t="shared" si="3"/>
        <v>0</v>
      </c>
    </row>
    <row r="41" spans="1:7" s="1" customFormat="1">
      <c r="A41" s="20">
        <v>47228</v>
      </c>
      <c r="B41" s="6">
        <v>29</v>
      </c>
      <c r="C41" s="6">
        <v>60</v>
      </c>
      <c r="D41" s="7"/>
      <c r="E41" s="21">
        <v>1.3115000000000001</v>
      </c>
      <c r="F41" s="8">
        <f t="shared" si="2"/>
        <v>0</v>
      </c>
      <c r="G41" s="9">
        <f t="shared" si="3"/>
        <v>0</v>
      </c>
    </row>
    <row r="42" spans="1:7" s="1" customFormat="1">
      <c r="A42" s="20">
        <v>47258</v>
      </c>
      <c r="B42" s="6">
        <v>28</v>
      </c>
      <c r="C42" s="6">
        <v>60</v>
      </c>
      <c r="D42" s="7"/>
      <c r="E42" s="21">
        <v>1.3115000000000001</v>
      </c>
      <c r="F42" s="8">
        <f t="shared" si="2"/>
        <v>0</v>
      </c>
      <c r="G42" s="9">
        <f t="shared" si="3"/>
        <v>0</v>
      </c>
    </row>
    <row r="43" spans="1:7" s="1" customFormat="1">
      <c r="A43" s="20">
        <v>47289</v>
      </c>
      <c r="B43" s="6">
        <v>27</v>
      </c>
      <c r="C43" s="6">
        <v>60</v>
      </c>
      <c r="D43" s="7"/>
      <c r="E43" s="21">
        <v>1.3115000000000001</v>
      </c>
      <c r="F43" s="8">
        <f t="shared" si="2"/>
        <v>0</v>
      </c>
      <c r="G43" s="9">
        <f t="shared" si="3"/>
        <v>0</v>
      </c>
    </row>
    <row r="44" spans="1:7" s="1" customFormat="1">
      <c r="A44" s="20">
        <v>47319</v>
      </c>
      <c r="B44" s="6">
        <v>26</v>
      </c>
      <c r="C44" s="6">
        <v>60</v>
      </c>
      <c r="D44" s="7"/>
      <c r="E44" s="21">
        <v>1.3115000000000001</v>
      </c>
      <c r="F44" s="8">
        <f t="shared" si="2"/>
        <v>0</v>
      </c>
      <c r="G44" s="9">
        <f t="shared" si="3"/>
        <v>0</v>
      </c>
    </row>
    <row r="45" spans="1:7" s="1" customFormat="1">
      <c r="A45" s="20">
        <v>47350</v>
      </c>
      <c r="B45" s="6">
        <v>25</v>
      </c>
      <c r="C45" s="6">
        <v>60</v>
      </c>
      <c r="D45" s="7"/>
      <c r="E45" s="21">
        <v>1.3115000000000001</v>
      </c>
      <c r="F45" s="8">
        <f t="shared" si="2"/>
        <v>0</v>
      </c>
      <c r="G45" s="9">
        <f t="shared" si="3"/>
        <v>0</v>
      </c>
    </row>
    <row r="46" spans="1:7" s="1" customFormat="1">
      <c r="A46" s="20">
        <v>47381</v>
      </c>
      <c r="B46" s="6">
        <v>24</v>
      </c>
      <c r="C46" s="6">
        <v>60</v>
      </c>
      <c r="D46" s="7"/>
      <c r="E46" s="21">
        <v>1.3115000000000001</v>
      </c>
      <c r="F46" s="8">
        <f t="shared" si="2"/>
        <v>0</v>
      </c>
      <c r="G46" s="9">
        <f t="shared" si="3"/>
        <v>0</v>
      </c>
    </row>
    <row r="47" spans="1:7" s="1" customFormat="1">
      <c r="A47" s="20">
        <v>47411</v>
      </c>
      <c r="B47" s="6">
        <v>23</v>
      </c>
      <c r="C47" s="6">
        <v>60</v>
      </c>
      <c r="D47" s="7"/>
      <c r="E47" s="21">
        <v>1.3115000000000001</v>
      </c>
      <c r="F47" s="8">
        <f t="shared" si="2"/>
        <v>0</v>
      </c>
      <c r="G47" s="9">
        <f t="shared" si="3"/>
        <v>0</v>
      </c>
    </row>
    <row r="48" spans="1:7" s="1" customFormat="1">
      <c r="A48" s="20">
        <v>47442</v>
      </c>
      <c r="B48" s="6">
        <v>22</v>
      </c>
      <c r="C48" s="6">
        <v>60</v>
      </c>
      <c r="D48" s="7"/>
      <c r="E48" s="21">
        <v>1.3115000000000001</v>
      </c>
      <c r="F48" s="8">
        <f t="shared" si="2"/>
        <v>0</v>
      </c>
      <c r="G48" s="9">
        <f t="shared" si="3"/>
        <v>0</v>
      </c>
    </row>
    <row r="49" spans="1:7" s="1" customFormat="1">
      <c r="A49" s="20">
        <v>47472</v>
      </c>
      <c r="B49" s="6">
        <v>21</v>
      </c>
      <c r="C49" s="6">
        <v>60</v>
      </c>
      <c r="D49" s="7"/>
      <c r="E49" s="21">
        <v>1.3115000000000001</v>
      </c>
      <c r="F49" s="8">
        <f t="shared" si="2"/>
        <v>0</v>
      </c>
      <c r="G49" s="9">
        <f t="shared" si="3"/>
        <v>0</v>
      </c>
    </row>
    <row r="50" spans="1:7" s="1" customFormat="1">
      <c r="A50" s="20">
        <v>47503</v>
      </c>
      <c r="B50" s="6">
        <v>20</v>
      </c>
      <c r="C50" s="6">
        <v>60</v>
      </c>
      <c r="D50" s="7"/>
      <c r="E50" s="21">
        <v>1.3115000000000001</v>
      </c>
      <c r="F50" s="8">
        <f>+D50*E50/C50*B50</f>
        <v>0</v>
      </c>
      <c r="G50" s="9">
        <f>D50+F50</f>
        <v>0</v>
      </c>
    </row>
    <row r="51" spans="1:7" s="1" customFormat="1">
      <c r="A51" s="20">
        <v>47534</v>
      </c>
      <c r="B51" s="6">
        <v>19</v>
      </c>
      <c r="C51" s="6">
        <v>60</v>
      </c>
      <c r="D51" s="7"/>
      <c r="E51" s="21">
        <v>1.3115000000000001</v>
      </c>
      <c r="F51" s="8">
        <f>+D51*E51/C51*B51</f>
        <v>0</v>
      </c>
      <c r="G51" s="9">
        <f>D51+F51</f>
        <v>0</v>
      </c>
    </row>
    <row r="52" spans="1:7" s="1" customFormat="1">
      <c r="A52" s="20">
        <v>47562</v>
      </c>
      <c r="B52" s="6">
        <v>18</v>
      </c>
      <c r="C52" s="6">
        <v>60</v>
      </c>
      <c r="D52" s="7"/>
      <c r="E52" s="21">
        <v>1.3115000000000001</v>
      </c>
      <c r="F52" s="8">
        <f>+D52*E52/C52*B52</f>
        <v>0</v>
      </c>
      <c r="G52" s="9">
        <f>D52+F52</f>
        <v>0</v>
      </c>
    </row>
    <row r="53" spans="1:7" s="1" customFormat="1">
      <c r="A53" s="20">
        <v>47593</v>
      </c>
      <c r="B53" s="6">
        <v>17</v>
      </c>
      <c r="C53" s="6">
        <v>60</v>
      </c>
      <c r="D53" s="7"/>
      <c r="E53" s="21">
        <v>1.3115000000000001</v>
      </c>
      <c r="F53" s="8">
        <f t="shared" ref="F53:F67" si="4">+D53*E53/C53*B53</f>
        <v>0</v>
      </c>
      <c r="G53" s="9">
        <f t="shared" ref="G53:G67" si="5">D53+F53</f>
        <v>0</v>
      </c>
    </row>
    <row r="54" spans="1:7" s="1" customFormat="1">
      <c r="A54" s="20">
        <v>47623</v>
      </c>
      <c r="B54" s="6">
        <v>16</v>
      </c>
      <c r="C54" s="6">
        <v>60</v>
      </c>
      <c r="D54" s="7"/>
      <c r="E54" s="21">
        <v>1.3115000000000001</v>
      </c>
      <c r="F54" s="8">
        <f t="shared" si="4"/>
        <v>0</v>
      </c>
      <c r="G54" s="9">
        <f t="shared" si="5"/>
        <v>0</v>
      </c>
    </row>
    <row r="55" spans="1:7" s="1" customFormat="1">
      <c r="A55" s="20">
        <v>47654</v>
      </c>
      <c r="B55" s="6">
        <v>15</v>
      </c>
      <c r="C55" s="6">
        <v>60</v>
      </c>
      <c r="D55" s="7"/>
      <c r="E55" s="21">
        <v>1.3115000000000001</v>
      </c>
      <c r="F55" s="8">
        <f t="shared" si="4"/>
        <v>0</v>
      </c>
      <c r="G55" s="9">
        <f t="shared" si="5"/>
        <v>0</v>
      </c>
    </row>
    <row r="56" spans="1:7" s="1" customFormat="1">
      <c r="A56" s="20">
        <v>47684</v>
      </c>
      <c r="B56" s="6">
        <v>14</v>
      </c>
      <c r="C56" s="6">
        <v>60</v>
      </c>
      <c r="D56" s="7"/>
      <c r="E56" s="21">
        <v>1.3115000000000001</v>
      </c>
      <c r="F56" s="8">
        <f t="shared" si="4"/>
        <v>0</v>
      </c>
      <c r="G56" s="9">
        <f t="shared" si="5"/>
        <v>0</v>
      </c>
    </row>
    <row r="57" spans="1:7" s="1" customFormat="1">
      <c r="A57" s="20">
        <v>47715</v>
      </c>
      <c r="B57" s="6">
        <v>13</v>
      </c>
      <c r="C57" s="6">
        <v>60</v>
      </c>
      <c r="D57" s="7"/>
      <c r="E57" s="21">
        <v>1.3115000000000001</v>
      </c>
      <c r="F57" s="8">
        <f t="shared" si="4"/>
        <v>0</v>
      </c>
      <c r="G57" s="9">
        <f t="shared" si="5"/>
        <v>0</v>
      </c>
    </row>
    <row r="58" spans="1:7" s="1" customFormat="1">
      <c r="A58" s="20">
        <v>47746</v>
      </c>
      <c r="B58" s="6">
        <v>12</v>
      </c>
      <c r="C58" s="6">
        <v>60</v>
      </c>
      <c r="D58" s="7"/>
      <c r="E58" s="21">
        <v>1.3115000000000001</v>
      </c>
      <c r="F58" s="8">
        <f t="shared" si="4"/>
        <v>0</v>
      </c>
      <c r="G58" s="9">
        <f t="shared" si="5"/>
        <v>0</v>
      </c>
    </row>
    <row r="59" spans="1:7" s="1" customFormat="1">
      <c r="A59" s="20">
        <v>47776</v>
      </c>
      <c r="B59" s="6">
        <v>11</v>
      </c>
      <c r="C59" s="6">
        <v>60</v>
      </c>
      <c r="D59" s="7"/>
      <c r="E59" s="21">
        <v>1.3115000000000001</v>
      </c>
      <c r="F59" s="8">
        <f t="shared" si="4"/>
        <v>0</v>
      </c>
      <c r="G59" s="9">
        <f t="shared" si="5"/>
        <v>0</v>
      </c>
    </row>
    <row r="60" spans="1:7" s="1" customFormat="1">
      <c r="A60" s="20">
        <v>47807</v>
      </c>
      <c r="B60" s="6">
        <v>10</v>
      </c>
      <c r="C60" s="6">
        <v>60</v>
      </c>
      <c r="D60" s="7"/>
      <c r="E60" s="21">
        <v>1.3115000000000001</v>
      </c>
      <c r="F60" s="8">
        <f t="shared" si="4"/>
        <v>0</v>
      </c>
      <c r="G60" s="9">
        <f t="shared" si="5"/>
        <v>0</v>
      </c>
    </row>
    <row r="61" spans="1:7" s="1" customFormat="1">
      <c r="A61" s="20">
        <v>47837</v>
      </c>
      <c r="B61" s="6">
        <v>9</v>
      </c>
      <c r="C61" s="6">
        <v>60</v>
      </c>
      <c r="D61" s="7"/>
      <c r="E61" s="21">
        <v>1.3115000000000001</v>
      </c>
      <c r="F61" s="8">
        <f t="shared" si="4"/>
        <v>0</v>
      </c>
      <c r="G61" s="9">
        <f t="shared" si="5"/>
        <v>0</v>
      </c>
    </row>
    <row r="62" spans="1:7" s="1" customFormat="1">
      <c r="A62" s="20">
        <v>47868</v>
      </c>
      <c r="B62" s="6">
        <v>8</v>
      </c>
      <c r="C62" s="6">
        <v>60</v>
      </c>
      <c r="D62" s="7"/>
      <c r="E62" s="21">
        <v>1.3115000000000001</v>
      </c>
      <c r="F62" s="8">
        <f t="shared" si="4"/>
        <v>0</v>
      </c>
      <c r="G62" s="9">
        <f t="shared" si="5"/>
        <v>0</v>
      </c>
    </row>
    <row r="63" spans="1:7" s="1" customFormat="1">
      <c r="A63" s="20">
        <v>47899</v>
      </c>
      <c r="B63" s="6">
        <v>7</v>
      </c>
      <c r="C63" s="6">
        <v>60</v>
      </c>
      <c r="D63" s="7"/>
      <c r="E63" s="21">
        <v>1.3115000000000001</v>
      </c>
      <c r="F63" s="8">
        <f t="shared" si="4"/>
        <v>0</v>
      </c>
      <c r="G63" s="9">
        <f t="shared" si="5"/>
        <v>0</v>
      </c>
    </row>
    <row r="64" spans="1:7" s="1" customFormat="1">
      <c r="A64" s="20">
        <v>47927</v>
      </c>
      <c r="B64" s="6">
        <v>6</v>
      </c>
      <c r="C64" s="6">
        <v>60</v>
      </c>
      <c r="D64" s="7"/>
      <c r="E64" s="21">
        <v>1.3115000000000001</v>
      </c>
      <c r="F64" s="8">
        <f t="shared" si="4"/>
        <v>0</v>
      </c>
      <c r="G64" s="9">
        <f t="shared" si="5"/>
        <v>0</v>
      </c>
    </row>
    <row r="65" spans="1:7" s="1" customFormat="1">
      <c r="A65" s="20">
        <v>47958</v>
      </c>
      <c r="B65" s="6">
        <v>5</v>
      </c>
      <c r="C65" s="6">
        <v>60</v>
      </c>
      <c r="D65" s="7"/>
      <c r="E65" s="21">
        <v>1.3115000000000001</v>
      </c>
      <c r="F65" s="8">
        <f t="shared" si="4"/>
        <v>0</v>
      </c>
      <c r="G65" s="9">
        <f t="shared" si="5"/>
        <v>0</v>
      </c>
    </row>
    <row r="66" spans="1:7" s="1" customFormat="1">
      <c r="A66" s="20">
        <v>47988</v>
      </c>
      <c r="B66" s="6">
        <v>4</v>
      </c>
      <c r="C66" s="6">
        <v>60</v>
      </c>
      <c r="D66" s="7"/>
      <c r="E66" s="21">
        <v>1.3115000000000001</v>
      </c>
      <c r="F66" s="8">
        <f t="shared" si="4"/>
        <v>0</v>
      </c>
      <c r="G66" s="9">
        <f t="shared" si="5"/>
        <v>0</v>
      </c>
    </row>
    <row r="67" spans="1:7" s="1" customFormat="1">
      <c r="A67" s="20">
        <v>48019</v>
      </c>
      <c r="B67" s="6">
        <v>3</v>
      </c>
      <c r="C67" s="6">
        <v>60</v>
      </c>
      <c r="D67" s="7"/>
      <c r="E67" s="21">
        <v>1.3115000000000001</v>
      </c>
      <c r="F67" s="8">
        <f t="shared" si="4"/>
        <v>0</v>
      </c>
      <c r="G67" s="9">
        <f t="shared" si="5"/>
        <v>0</v>
      </c>
    </row>
    <row r="68" spans="1:7" s="1" customFormat="1">
      <c r="A68" s="20">
        <v>48049</v>
      </c>
      <c r="B68" s="6">
        <v>2</v>
      </c>
      <c r="C68" s="6">
        <v>60</v>
      </c>
      <c r="D68" s="7"/>
      <c r="E68" s="21">
        <v>1.3115000000000001</v>
      </c>
      <c r="F68" s="8">
        <f t="shared" ref="F68:F69" si="6">+D68*E68/C68*B68</f>
        <v>0</v>
      </c>
      <c r="G68" s="9">
        <f t="shared" ref="G68:G69" si="7">D68+F68</f>
        <v>0</v>
      </c>
    </row>
    <row r="69" spans="1:7" s="1" customFormat="1">
      <c r="A69" s="20">
        <v>48080</v>
      </c>
      <c r="B69" s="6">
        <v>1</v>
      </c>
      <c r="C69" s="6">
        <v>60</v>
      </c>
      <c r="D69" s="7"/>
      <c r="E69" s="21">
        <v>1.3115000000000001</v>
      </c>
      <c r="F69" s="8">
        <f t="shared" si="6"/>
        <v>0</v>
      </c>
      <c r="G69" s="9">
        <f t="shared" si="7"/>
        <v>0</v>
      </c>
    </row>
    <row r="70" spans="1:7">
      <c r="A70" s="13"/>
      <c r="B70" s="10"/>
      <c r="C70" s="10"/>
      <c r="D70" s="11"/>
      <c r="E70" s="10"/>
      <c r="F70" s="14"/>
      <c r="G70" s="12"/>
    </row>
    <row r="71" spans="1:7">
      <c r="A71" s="15"/>
      <c r="B71" s="16"/>
      <c r="C71" s="16" t="s">
        <v>14</v>
      </c>
      <c r="D71" s="17">
        <f>SUM(D10:D70)</f>
        <v>1000</v>
      </c>
      <c r="E71" s="16" t="s">
        <v>15</v>
      </c>
      <c r="F71" s="18">
        <f>SUM(F10:F70)</f>
        <v>1311.5</v>
      </c>
      <c r="G71" s="19">
        <f>SUM(G10:G70)</f>
        <v>2311.5</v>
      </c>
    </row>
  </sheetData>
  <mergeCells count="15">
    <mergeCell ref="A1:G1"/>
    <mergeCell ref="A2:C2"/>
    <mergeCell ref="D2:E2"/>
    <mergeCell ref="A3:C3"/>
    <mergeCell ref="D3:E3"/>
    <mergeCell ref="A7:C7"/>
    <mergeCell ref="D7:E7"/>
    <mergeCell ref="A8:F8"/>
    <mergeCell ref="F2:G7"/>
    <mergeCell ref="A4:C4"/>
    <mergeCell ref="D4:E4"/>
    <mergeCell ref="A5:C5"/>
    <mergeCell ref="D5:E5"/>
    <mergeCell ref="A6:C6"/>
    <mergeCell ref="D6:E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Groww Karo</cp:lastModifiedBy>
  <cp:lastPrinted>2026-05-05T11:48:56Z</cp:lastPrinted>
  <dcterms:created xsi:type="dcterms:W3CDTF">2025-09-24T13:05:00Z</dcterms:created>
  <dcterms:modified xsi:type="dcterms:W3CDTF">2026-09-22T05:54:01Z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2D33C3D23E784AA9AA56EE5E3C89D0E1_12</vt:lpwstr>
  </property>
  <property fmtid="{D5CDD505-2E9C-101B-9397-08002B2CF9AE}" pid="3" name="KSOProductBuildVer">
    <vt:lpwstr>1033-12.2.0.20326</vt:lpwstr>
  </property>
</Properties>
</file>