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<sst xmlns="http://schemas.openxmlformats.org/spreadsheetml/2006/main" count="57" uniqueCount="34">
  <si>
    <t xml:space="preserve">Groww Karo Daily Deposit </t>
  </si>
  <si>
    <t>Client Name:</t>
  </si>
  <si>
    <t>Nikita Arora</t>
  </si>
  <si>
    <t>Starting Date:</t>
  </si>
  <si>
    <t>Ending Date:</t>
  </si>
  <si>
    <t>Mobile No.:</t>
  </si>
  <si>
    <t>Bond No. :</t>
  </si>
  <si>
    <t>GKUSID20261030124206</t>
  </si>
  <si>
    <t>Tenure:</t>
  </si>
  <si>
    <t>12 Month</t>
  </si>
  <si>
    <t xml:space="preserve">Date </t>
  </si>
  <si>
    <t>Days</t>
  </si>
  <si>
    <t>Tenure Day</t>
  </si>
  <si>
    <t>Deposit</t>
  </si>
  <si>
    <t>Percentage</t>
  </si>
  <si>
    <t>Profit</t>
  </si>
  <si>
    <t xml:space="preserve">Total Blance </t>
  </si>
  <si>
    <t>1st Month</t>
  </si>
  <si>
    <t>Total:-</t>
  </si>
  <si>
    <t>Totalprofit:-</t>
  </si>
  <si>
    <t>2nd Month</t>
  </si>
  <si>
    <t>3rd Month</t>
  </si>
  <si>
    <t>4th Month</t>
  </si>
  <si>
    <t>5th Month</t>
  </si>
  <si>
    <t>6th Month</t>
  </si>
  <si>
    <t>7th Month</t>
  </si>
  <si>
    <t>8th Month</t>
  </si>
  <si>
    <t>9th Month</t>
  </si>
  <si>
    <t>10th Month</t>
  </si>
  <si>
    <t>11th Month</t>
  </si>
  <si>
    <t>12th Month</t>
  </si>
  <si>
    <t>Total :-</t>
  </si>
  <si>
    <t>Total Deposit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</si>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</sst>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_);[Red]\(0\)"/>
    <numFmt numFmtId="166" formatCode="_(* #,##0.00_);_(* \(#,##0.00\);_(* &quot;-&quot;??_);_(@_)"/>
  </numFmts>
  <fonts count="4" x14ac:knownFonts="1">
    <font>
      <color theme="1"/>
      <family val="2"/>
      <scheme val="minor"/>
      <sz val="11"/>
      <name val="Calibri"/>
    </font>
    <font>
      <b/>
      <color rgb="FF595959"/>
      <sz val="22"/>
      <name val="Calibri"/>
    </font>
    <font>
      <color rgb="FF000000"/>
      <sz val="11"/>
      <name val="Calibri"/>
    </font>
    <font>
      <b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4" fontId="2" fillId="0" borderId="2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9" fontId="2" fillId="0" borderId="2" xfId="0" applyNumberFormat="1" applyFont="1" applyBorder="1"/>
    <xf numFmtId="166" fontId="2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166" fontId="3" fillId="3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/>
    <xf numFmtId="0" fontId="3" fillId="2" borderId="2" xfId="0" applyFont="1" applyFill="1" applyBorder="1"/>
    <xf numFmtId="164" fontId="3" fillId="2" borderId="2" xfId="0" applyNumberFormat="1" applyFont="1" applyFill="1" applyBorder="1"/>
    <xf numFmtId="166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161290</xdr:colOff>
      <xdr:row>1</xdr:row>
      <xdr:rowOff>49530</xdr:rowOff>
    </xdr:from>
    <xdr:to>
      <xdr:col>6</xdr:col>
      <xdr:colOff>735330</xdr:colOff>
      <xdr:row>6</xdr:row>
      <xdr:rowOff>139065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8"/>
  <sheetViews>
    <sheetView workbookViewId="0" zoomScale="85" zoomScaleNormal="85"/>
  </sheetViews>
  <sheetFormatPr defaultRowHeight="14.4" outlineLevelRow="0" outlineLevelCol="0" x14ac:dyDescent="55" defaultColWidth="8.6640625" customHeight="1"/>
  <cols>
    <col min="1" max="1" width="11" customWidth="1"/>
    <col min="2" max="2" width="6.88671875" customWidth="1"/>
    <col min="3" max="3" width="12.44140625" customWidth="1"/>
    <col min="4" max="4" width="11.5546875" customWidth="1"/>
    <col min="5" max="5" width="14" customWidth="1"/>
    <col min="6" max="6" width="10.109375" customWidth="1"/>
    <col min="7" max="7" width="13.5546875" customWidth="1"/>
  </cols>
  <sheetData>
    <row r="1" ht="29.1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3" t="s">
        <v>2</v>
      </c>
      <c r="E2" s="3"/>
      <c r="F2" s="4"/>
      <c r="G2" s="4"/>
    </row>
    <row r="3" spans="1:7" x14ac:dyDescent="0.25">
      <c r="A3" s="2" t="s">
        <v>3</v>
      </c>
      <c r="B3" s="2"/>
      <c r="C3" s="2"/>
      <c r="D3" s="5">
        <v>46305</v>
      </c>
      <c r="E3" s="5"/>
      <c r="F3" s="4"/>
      <c r="G3" s="4"/>
    </row>
    <row r="4" spans="1:7" x14ac:dyDescent="0.25">
      <c r="A4" s="2" t="s">
        <v>4</v>
      </c>
      <c r="B4" s="2"/>
      <c r="C4" s="2"/>
      <c r="D4" s="5">
        <v>46669</v>
      </c>
      <c r="E4" s="5"/>
      <c r="F4" s="4"/>
      <c r="G4" s="4"/>
    </row>
    <row r="5" spans="1:7" x14ac:dyDescent="0.25">
      <c r="A5" s="2" t="s">
        <v>5</v>
      </c>
      <c r="B5" s="2"/>
      <c r="C5" s="2"/>
      <c r="D5" s="6">
        <v>9950857320</v>
      </c>
      <c r="E5" s="6"/>
      <c r="F5" s="4"/>
      <c r="G5" s="4"/>
    </row>
    <row r="6" spans="1:7" x14ac:dyDescent="0.25">
      <c r="A6" s="2" t="s">
        <v>6</v>
      </c>
      <c r="B6" s="2"/>
      <c r="C6" s="2"/>
      <c r="D6" s="3" t="s">
        <v>7</v>
      </c>
      <c r="E6" s="3"/>
      <c r="F6" s="4"/>
      <c r="G6" s="4"/>
    </row>
    <row r="7" spans="1:7" x14ac:dyDescent="0.25">
      <c r="A7" s="2" t="s">
        <v>8</v>
      </c>
      <c r="B7" s="2"/>
      <c r="C7" s="2"/>
      <c r="D7" s="3" t="s">
        <v>9</v>
      </c>
      <c r="E7" s="3"/>
      <c r="F7" s="4"/>
      <c r="G7" s="4"/>
    </row>
    <row r="8" spans="1:7" x14ac:dyDescent="0.25">
      <c r="A8" s="7"/>
      <c r="B8" s="7"/>
      <c r="C8" s="7"/>
      <c r="D8" s="7"/>
      <c r="E8" s="7"/>
      <c r="F8" s="7"/>
      <c r="G8" s="8"/>
    </row>
    <row r="9" spans="1:7" x14ac:dyDescent="0.25">
      <c r="A9" s="9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</row>
    <row r="10" spans="1:7" x14ac:dyDescent="0.25">
      <c r="A10" s="10">
        <v>46305</v>
      </c>
      <c r="B10" s="11">
        <v>365</v>
      </c>
      <c r="C10" s="11">
        <v>365</v>
      </c>
      <c r="D10" s="12">
        <v>100</v>
      </c>
      <c r="E10" s="13">
        <v>0.28</v>
      </c>
      <c r="F10" s="14">
        <f>+D10*E10/C10*B10</f>
        <v>28</v>
      </c>
      <c r="G10" s="12">
        <f>D10+F10</f>
        <v>128</v>
      </c>
    </row>
    <row r="11" spans="1:7" x14ac:dyDescent="0.25">
      <c r="A11" s="10">
        <v>46306</v>
      </c>
      <c r="B11" s="11">
        <v>364</v>
      </c>
      <c r="C11" s="11">
        <v>365</v>
      </c>
      <c r="D11" s="12">
        <v>100</v>
      </c>
      <c r="E11" s="13">
        <v>0.28</v>
      </c>
      <c r="F11" s="14">
        <f>+D11*E11/C11*B11</f>
        <v>27.923287671232877</v>
      </c>
      <c r="G11" s="12">
        <f>D11+F11</f>
        <v>127.92328767123288</v>
      </c>
    </row>
    <row r="12" spans="1:7" x14ac:dyDescent="0.25">
      <c r="A12" s="10">
        <v>46307</v>
      </c>
      <c r="B12" s="11">
        <v>363</v>
      </c>
      <c r="C12" s="11">
        <v>365</v>
      </c>
      <c r="D12" s="12"/>
      <c r="E12" s="13">
        <v>0.28</v>
      </c>
      <c r="F12" s="14">
        <f>+D12*E12/C12*B12</f>
        <v>0</v>
      </c>
      <c r="G12" s="12">
        <f>D12+F12</f>
        <v>0</v>
      </c>
    </row>
    <row r="13" spans="1:7" x14ac:dyDescent="0.25">
      <c r="A13" s="10">
        <v>46308</v>
      </c>
      <c r="B13" s="11">
        <v>362</v>
      </c>
      <c r="C13" s="11">
        <v>365</v>
      </c>
      <c r="D13" s="12"/>
      <c r="E13" s="13">
        <v>0.28</v>
      </c>
      <c r="F13" s="14">
        <f>+D13*E13/C13*B13</f>
        <v>0</v>
      </c>
      <c r="G13" s="12">
        <f>D13+F13</f>
        <v>0</v>
      </c>
    </row>
    <row r="14" spans="1:7" x14ac:dyDescent="0.25">
      <c r="A14" s="10">
        <v>46309</v>
      </c>
      <c r="B14" s="11">
        <v>361</v>
      </c>
      <c r="C14" s="11">
        <v>365</v>
      </c>
      <c r="D14" s="12"/>
      <c r="E14" s="13">
        <v>0.28</v>
      </c>
      <c r="F14" s="14">
        <f>+D14*E14/C14*B14</f>
        <v>0</v>
      </c>
      <c r="G14" s="12">
        <f>D14+F14</f>
        <v>0</v>
      </c>
    </row>
    <row r="15" spans="1:7" x14ac:dyDescent="0.25">
      <c r="A15" s="10">
        <v>46310</v>
      </c>
      <c r="B15" s="11">
        <v>360</v>
      </c>
      <c r="C15" s="11">
        <v>365</v>
      </c>
      <c r="D15" s="12">
        <v>500</v>
      </c>
      <c r="E15" s="13">
        <v>0.28</v>
      </c>
      <c r="F15" s="14">
        <f>+D15*E15/C15*B15</f>
        <v>138.08219178082192</v>
      </c>
      <c r="G15" s="12">
        <f>D15+F15</f>
        <v>638.0821917808219</v>
      </c>
    </row>
    <row r="16" spans="1:7" x14ac:dyDescent="0.25">
      <c r="A16" s="10">
        <v>46311</v>
      </c>
      <c r="B16" s="11">
        <v>359</v>
      </c>
      <c r="C16" s="11">
        <v>365</v>
      </c>
      <c r="D16" s="12"/>
      <c r="E16" s="13">
        <v>0.28</v>
      </c>
      <c r="F16" s="14">
        <f>+D16*E16/C16*B16</f>
        <v>0</v>
      </c>
      <c r="G16" s="12">
        <f>D16+F16</f>
        <v>0</v>
      </c>
    </row>
    <row r="17" spans="1:7" x14ac:dyDescent="0.25">
      <c r="A17" s="10">
        <v>46312</v>
      </c>
      <c r="B17" s="11">
        <v>358</v>
      </c>
      <c r="C17" s="11">
        <v>365</v>
      </c>
      <c r="D17" s="12"/>
      <c r="E17" s="13">
        <v>0.28</v>
      </c>
      <c r="F17" s="14">
        <f>+D17*E17/C17*B17</f>
        <v>0</v>
      </c>
      <c r="G17" s="12">
        <f>D17+F17</f>
        <v>0</v>
      </c>
    </row>
    <row r="18" spans="1:7" x14ac:dyDescent="0.25">
      <c r="A18" s="10">
        <v>46313</v>
      </c>
      <c r="B18" s="11">
        <v>357</v>
      </c>
      <c r="C18" s="11">
        <v>365</v>
      </c>
      <c r="D18" s="12"/>
      <c r="E18" s="13">
        <v>0.28</v>
      </c>
      <c r="F18" s="14">
        <f>+D18*E18/C18*B18</f>
        <v>0</v>
      </c>
      <c r="G18" s="12">
        <f>D18+F18</f>
        <v>0</v>
      </c>
    </row>
    <row r="19" spans="1:7" x14ac:dyDescent="0.25">
      <c r="A19" s="10">
        <v>46314</v>
      </c>
      <c r="B19" s="11">
        <v>356</v>
      </c>
      <c r="C19" s="11">
        <v>365</v>
      </c>
      <c r="D19" s="12"/>
      <c r="E19" s="13">
        <v>0.28</v>
      </c>
      <c r="F19" s="14">
        <f>+D19*E19/C19*B19</f>
        <v>0</v>
      </c>
      <c r="G19" s="12">
        <f>D19+F19</f>
        <v>0</v>
      </c>
    </row>
    <row r="20" spans="1:7" x14ac:dyDescent="0.25">
      <c r="A20" s="10">
        <v>46315</v>
      </c>
      <c r="B20" s="11">
        <v>355</v>
      </c>
      <c r="C20" s="11">
        <v>365</v>
      </c>
      <c r="D20" s="12">
        <v>400</v>
      </c>
      <c r="E20" s="13">
        <v>0.28</v>
      </c>
      <c r="F20" s="14">
        <f>+D20*E20/C20*B20</f>
        <v>108.93150684931507</v>
      </c>
      <c r="G20" s="12">
        <f>D20+F20</f>
        <v>508.93150684931504</v>
      </c>
    </row>
    <row r="21" spans="1:7" x14ac:dyDescent="0.25">
      <c r="A21" s="10">
        <v>46316</v>
      </c>
      <c r="B21" s="11">
        <v>354</v>
      </c>
      <c r="C21" s="11">
        <v>365</v>
      </c>
      <c r="D21" s="12"/>
      <c r="E21" s="13">
        <v>0.28</v>
      </c>
      <c r="F21" s="14">
        <f>+D21*E21/C21*B21</f>
        <v>0</v>
      </c>
      <c r="G21" s="12">
        <f>D21+F21</f>
        <v>0</v>
      </c>
    </row>
    <row r="22" spans="1:7" x14ac:dyDescent="0.25">
      <c r="A22" s="10">
        <v>46317</v>
      </c>
      <c r="B22" s="11">
        <v>353</v>
      </c>
      <c r="C22" s="11">
        <v>365</v>
      </c>
      <c r="D22" s="12"/>
      <c r="E22" s="13">
        <v>0.28</v>
      </c>
      <c r="F22" s="14">
        <f>+D22*E22/C22*B22</f>
        <v>0</v>
      </c>
      <c r="G22" s="12">
        <f>D22+F22</f>
        <v>0</v>
      </c>
    </row>
    <row r="23" spans="1:7" x14ac:dyDescent="0.25">
      <c r="A23" s="10">
        <v>46318</v>
      </c>
      <c r="B23" s="11">
        <v>352</v>
      </c>
      <c r="C23" s="11">
        <v>365</v>
      </c>
      <c r="D23" s="12"/>
      <c r="E23" s="13">
        <v>0.28</v>
      </c>
      <c r="F23" s="14">
        <f>+D23*E23/C23*B23</f>
        <v>0</v>
      </c>
      <c r="G23" s="12">
        <f>D23+F23</f>
        <v>0</v>
      </c>
    </row>
    <row r="24" spans="1:7" x14ac:dyDescent="0.25">
      <c r="A24" s="10">
        <v>46319</v>
      </c>
      <c r="B24" s="11">
        <v>351</v>
      </c>
      <c r="C24" s="11">
        <v>365</v>
      </c>
      <c r="D24" s="12"/>
      <c r="E24" s="13">
        <v>0.28</v>
      </c>
      <c r="F24" s="14">
        <f>+D24*E24/C24*B24</f>
        <v>0</v>
      </c>
      <c r="G24" s="12">
        <f>D24+F24</f>
        <v>0</v>
      </c>
    </row>
    <row r="25" spans="1:7" x14ac:dyDescent="0.25">
      <c r="A25" s="10">
        <v>46320</v>
      </c>
      <c r="B25" s="11">
        <v>350</v>
      </c>
      <c r="C25" s="11">
        <v>365</v>
      </c>
      <c r="D25" s="12">
        <v>300</v>
      </c>
      <c r="E25" s="13">
        <v>0.28</v>
      </c>
      <c r="F25" s="14">
        <f>+D25*E25/C25*B25</f>
        <v>80.54794520547946</v>
      </c>
      <c r="G25" s="12">
        <f>D25+F25</f>
        <v>380.54794520547944</v>
      </c>
    </row>
    <row r="26" spans="1:7" x14ac:dyDescent="0.25">
      <c r="A26" s="10">
        <v>46321</v>
      </c>
      <c r="B26" s="11">
        <v>349</v>
      </c>
      <c r="C26" s="11">
        <v>365</v>
      </c>
      <c r="D26" s="12"/>
      <c r="E26" s="13">
        <v>0.28</v>
      </c>
      <c r="F26" s="14">
        <f>+D26*E26/C26*B26</f>
        <v>0</v>
      </c>
      <c r="G26" s="12">
        <f>D26+F26</f>
        <v>0</v>
      </c>
    </row>
    <row r="27" spans="1:7" x14ac:dyDescent="0.25">
      <c r="A27" s="10">
        <v>46322</v>
      </c>
      <c r="B27" s="11">
        <v>348</v>
      </c>
      <c r="C27" s="11">
        <v>365</v>
      </c>
      <c r="D27" s="12"/>
      <c r="E27" s="13">
        <v>0.28</v>
      </c>
      <c r="F27" s="14">
        <f>+D27*E27/C27*B27</f>
        <v>0</v>
      </c>
      <c r="G27" s="12">
        <f>D27+F27</f>
        <v>0</v>
      </c>
    </row>
    <row r="28" spans="1:7" x14ac:dyDescent="0.25">
      <c r="A28" s="10">
        <v>46323</v>
      </c>
      <c r="B28" s="11">
        <v>347</v>
      </c>
      <c r="C28" s="11">
        <v>365</v>
      </c>
      <c r="D28" s="12"/>
      <c r="E28" s="13">
        <v>0.28</v>
      </c>
      <c r="F28" s="14">
        <f>+D28*E28/C28*B28</f>
        <v>0</v>
      </c>
      <c r="G28" s="12">
        <f>D28+F28</f>
        <v>0</v>
      </c>
    </row>
    <row r="29" spans="1:7" x14ac:dyDescent="0.25">
      <c r="A29" s="10">
        <v>46324</v>
      </c>
      <c r="B29" s="11">
        <v>346</v>
      </c>
      <c r="C29" s="11">
        <v>365</v>
      </c>
      <c r="D29" s="12">
        <v>500</v>
      </c>
      <c r="E29" s="13">
        <v>0.28</v>
      </c>
      <c r="F29" s="14">
        <f>+D29*E29/C29*B29</f>
        <v>132.71232876712327</v>
      </c>
      <c r="G29" s="12">
        <f>D29+F29</f>
        <v>632.7123287671233</v>
      </c>
    </row>
    <row r="30" spans="1:7" x14ac:dyDescent="0.25">
      <c r="A30" s="10">
        <v>46325</v>
      </c>
      <c r="B30" s="11">
        <v>345</v>
      </c>
      <c r="C30" s="11">
        <v>365</v>
      </c>
      <c r="D30" s="12">
        <v>500</v>
      </c>
      <c r="E30" s="13">
        <v>0.28</v>
      </c>
      <c r="F30" s="14">
        <f>+D30*E30/C30*B30</f>
        <v>132.32876712328766</v>
      </c>
      <c r="G30" s="12">
        <f>D30+F30</f>
        <v>632.3287671232877</v>
      </c>
    </row>
    <row r="31" spans="1:7" x14ac:dyDescent="0.25">
      <c r="A31" s="10">
        <v>46326</v>
      </c>
      <c r="B31" s="11">
        <v>344</v>
      </c>
      <c r="C31" s="11">
        <v>365</v>
      </c>
      <c r="D31" s="12"/>
      <c r="E31" s="13">
        <v>0.28</v>
      </c>
      <c r="F31" s="14">
        <f>+D31*E31/C31*B31</f>
        <v>0</v>
      </c>
      <c r="G31" s="12">
        <f>D31+F31</f>
        <v>0</v>
      </c>
    </row>
    <row r="32" spans="1:7" x14ac:dyDescent="0.25">
      <c r="A32" s="15" t="s">
        <v>17</v>
      </c>
      <c r="B32" s="15"/>
      <c r="C32" s="15" t="s">
        <v>18</v>
      </c>
      <c r="D32" s="16">
        <f>SUM(D10:D31)</f>
        <v>2400</v>
      </c>
      <c r="E32" s="15" t="s">
        <v>19</v>
      </c>
      <c r="F32" s="17">
        <f>SUM(F10:F31)</f>
        <v>648.5260273972602</v>
      </c>
      <c r="G32" s="16">
        <f>SUM(G10:G31)</f>
        <v>3048.5260273972603</v>
      </c>
    </row>
    <row r="33" spans="1:7" x14ac:dyDescent="0.25">
      <c r="A33" s="10">
        <v>46327</v>
      </c>
      <c r="B33" s="11">
        <v>343</v>
      </c>
      <c r="C33" s="11">
        <v>365</v>
      </c>
      <c r="D33" s="12">
        <v>200</v>
      </c>
      <c r="E33" s="13">
        <v>0.28</v>
      </c>
      <c r="F33" s="14">
        <f>+D33*E33/C33*B33</f>
        <v>52.62465753424658</v>
      </c>
      <c r="G33" s="12">
        <f>D33+F33</f>
        <v>252.62465753424658</v>
      </c>
    </row>
    <row r="34" spans="1:7" x14ac:dyDescent="0.25">
      <c r="A34" s="10">
        <v>46328</v>
      </c>
      <c r="B34" s="11">
        <v>342</v>
      </c>
      <c r="C34" s="11">
        <v>365</v>
      </c>
      <c r="D34" s="12"/>
      <c r="E34" s="13">
        <v>0.28</v>
      </c>
      <c r="F34" s="14">
        <f>+D34*E34/C34*B34</f>
        <v>0</v>
      </c>
      <c r="G34" s="12">
        <f>D34+F34</f>
        <v>0</v>
      </c>
    </row>
    <row r="35" spans="1:7" x14ac:dyDescent="0.25">
      <c r="A35" s="10">
        <v>46329</v>
      </c>
      <c r="B35" s="11">
        <v>341</v>
      </c>
      <c r="C35" s="11">
        <v>365</v>
      </c>
      <c r="D35" s="12"/>
      <c r="E35" s="13">
        <v>0.28</v>
      </c>
      <c r="F35" s="14">
        <f>+D35*E35/C35*B35</f>
        <v>0</v>
      </c>
      <c r="G35" s="12">
        <f>D35+F35</f>
        <v>0</v>
      </c>
    </row>
    <row r="36" spans="1:7" x14ac:dyDescent="0.25">
      <c r="A36" s="10">
        <v>46330</v>
      </c>
      <c r="B36" s="11">
        <v>340</v>
      </c>
      <c r="C36" s="11">
        <v>365</v>
      </c>
      <c r="D36" s="12"/>
      <c r="E36" s="13">
        <v>0.28</v>
      </c>
      <c r="F36" s="14">
        <f>+D36*E36/C36*B36</f>
        <v>0</v>
      </c>
      <c r="G36" s="12">
        <f>D36+F36</f>
        <v>0</v>
      </c>
    </row>
    <row r="37" spans="1:7" x14ac:dyDescent="0.25">
      <c r="A37" s="10">
        <v>46331</v>
      </c>
      <c r="B37" s="11">
        <v>339</v>
      </c>
      <c r="C37" s="11">
        <v>365</v>
      </c>
      <c r="D37" s="12"/>
      <c r="E37" s="13">
        <v>0.28</v>
      </c>
      <c r="F37" s="14">
        <f>+D37*E37/C37*B37</f>
        <v>0</v>
      </c>
      <c r="G37" s="12">
        <f>D37+F37</f>
        <v>0</v>
      </c>
    </row>
    <row r="38" spans="1:7" x14ac:dyDescent="0.25">
      <c r="A38" s="10">
        <v>46332</v>
      </c>
      <c r="B38" s="11">
        <v>338</v>
      </c>
      <c r="C38" s="11">
        <v>365</v>
      </c>
      <c r="D38" s="12"/>
      <c r="E38" s="13">
        <v>0.28</v>
      </c>
      <c r="F38" s="14">
        <f>+D38*E38/C38*B38</f>
        <v>0</v>
      </c>
      <c r="G38" s="12">
        <f>D38+F38</f>
        <v>0</v>
      </c>
    </row>
    <row r="39" spans="1:7" x14ac:dyDescent="0.25">
      <c r="A39" s="10">
        <v>46333</v>
      </c>
      <c r="B39" s="11">
        <v>337</v>
      </c>
      <c r="C39" s="11">
        <v>365</v>
      </c>
      <c r="D39" s="12"/>
      <c r="E39" s="13">
        <v>0.28</v>
      </c>
      <c r="F39" s="14">
        <f>+D39*E39/C39*B39</f>
        <v>0</v>
      </c>
      <c r="G39" s="12">
        <f>D39+F39</f>
        <v>0</v>
      </c>
    </row>
    <row r="40" spans="1:7" x14ac:dyDescent="0.25">
      <c r="A40" s="10">
        <v>46334</v>
      </c>
      <c r="B40" s="11">
        <v>336</v>
      </c>
      <c r="C40" s="11">
        <v>365</v>
      </c>
      <c r="D40" s="12"/>
      <c r="E40" s="13">
        <v>0.28</v>
      </c>
      <c r="F40" s="14">
        <f>+D40*E40/C40*B40</f>
        <v>0</v>
      </c>
      <c r="G40" s="12">
        <f>D40+F40</f>
        <v>0</v>
      </c>
    </row>
    <row r="41" spans="1:7" x14ac:dyDescent="0.25">
      <c r="A41" s="10">
        <v>46335</v>
      </c>
      <c r="B41" s="11">
        <v>335</v>
      </c>
      <c r="C41" s="11">
        <v>365</v>
      </c>
      <c r="D41" s="12"/>
      <c r="E41" s="13">
        <v>0.28</v>
      </c>
      <c r="F41" s="14">
        <f>+D41*E41/C41*B41</f>
        <v>0</v>
      </c>
      <c r="G41" s="12">
        <f>D41+F41</f>
        <v>0</v>
      </c>
    </row>
    <row r="42" spans="1:7" x14ac:dyDescent="0.25">
      <c r="A42" s="10">
        <v>46336</v>
      </c>
      <c r="B42" s="11">
        <v>334</v>
      </c>
      <c r="C42" s="11">
        <v>365</v>
      </c>
      <c r="D42" s="12"/>
      <c r="E42" s="13">
        <v>0.28</v>
      </c>
      <c r="F42" s="14">
        <f>+D42*E42/C42*B42</f>
        <v>0</v>
      </c>
      <c r="G42" s="12">
        <f>D42+F42</f>
        <v>0</v>
      </c>
    </row>
    <row r="43" spans="1:7" x14ac:dyDescent="0.25">
      <c r="A43" s="10">
        <v>46337</v>
      </c>
      <c r="B43" s="11">
        <v>333</v>
      </c>
      <c r="C43" s="11">
        <v>365</v>
      </c>
      <c r="D43" s="12"/>
      <c r="E43" s="13">
        <v>0.28</v>
      </c>
      <c r="F43" s="14">
        <f>+D43*E43/C43*B43</f>
        <v>0</v>
      </c>
      <c r="G43" s="12">
        <f>D43+F43</f>
        <v>0</v>
      </c>
    </row>
    <row r="44" spans="1:7" x14ac:dyDescent="0.25">
      <c r="A44" s="10">
        <v>46338</v>
      </c>
      <c r="B44" s="11">
        <v>332</v>
      </c>
      <c r="C44" s="11">
        <v>365</v>
      </c>
      <c r="D44" s="12"/>
      <c r="E44" s="13">
        <v>0.28</v>
      </c>
      <c r="F44" s="14">
        <f>+D44*E44/C44*B44</f>
        <v>0</v>
      </c>
      <c r="G44" s="12">
        <f>D44+F44</f>
        <v>0</v>
      </c>
    </row>
    <row r="45" spans="1:7" x14ac:dyDescent="0.25">
      <c r="A45" s="10">
        <v>46339</v>
      </c>
      <c r="B45" s="11">
        <v>331</v>
      </c>
      <c r="C45" s="11">
        <v>365</v>
      </c>
      <c r="D45" s="12"/>
      <c r="E45" s="13">
        <v>0.28</v>
      </c>
      <c r="F45" s="14">
        <f>+D45*E45/C45*B45</f>
        <v>0</v>
      </c>
      <c r="G45" s="12">
        <f>D45+F45</f>
        <v>0</v>
      </c>
    </row>
    <row r="46" spans="1:7" x14ac:dyDescent="0.25">
      <c r="A46" s="10">
        <v>46340</v>
      </c>
      <c r="B46" s="11">
        <v>330</v>
      </c>
      <c r="C46" s="11">
        <v>365</v>
      </c>
      <c r="D46" s="12"/>
      <c r="E46" s="13">
        <v>0.28</v>
      </c>
      <c r="F46" s="14">
        <f>+D46*E46/C46*B46</f>
        <v>0</v>
      </c>
      <c r="G46" s="12">
        <f>D46+F46</f>
        <v>0</v>
      </c>
    </row>
    <row r="47" spans="1:7" x14ac:dyDescent="0.25">
      <c r="A47" s="10">
        <v>46341</v>
      </c>
      <c r="B47" s="11">
        <v>329</v>
      </c>
      <c r="C47" s="11">
        <v>365</v>
      </c>
      <c r="D47" s="12"/>
      <c r="E47" s="13">
        <v>0.28</v>
      </c>
      <c r="F47" s="14">
        <f>+D47*E47/C47*B47</f>
        <v>0</v>
      </c>
      <c r="G47" s="12">
        <f>D47+F47</f>
        <v>0</v>
      </c>
    </row>
    <row r="48" spans="1:7" x14ac:dyDescent="0.25">
      <c r="A48" s="10">
        <v>46342</v>
      </c>
      <c r="B48" s="11">
        <v>328</v>
      </c>
      <c r="C48" s="11">
        <v>365</v>
      </c>
      <c r="D48" s="12"/>
      <c r="E48" s="13">
        <v>0.28</v>
      </c>
      <c r="F48" s="14">
        <f>+D48*E48/C48*B48</f>
        <v>0</v>
      </c>
      <c r="G48" s="12">
        <f>D48+F48</f>
        <v>0</v>
      </c>
    </row>
    <row r="49" spans="1:7" x14ac:dyDescent="0.25">
      <c r="A49" s="10">
        <v>46343</v>
      </c>
      <c r="B49" s="11">
        <v>327</v>
      </c>
      <c r="C49" s="11">
        <v>365</v>
      </c>
      <c r="D49" s="12"/>
      <c r="E49" s="13">
        <v>0.28</v>
      </c>
      <c r="F49" s="14">
        <f>+D49*E49/C49*B49</f>
        <v>0</v>
      </c>
      <c r="G49" s="12">
        <f>D49+F49</f>
        <v>0</v>
      </c>
    </row>
    <row r="50" spans="1:7" x14ac:dyDescent="0.25">
      <c r="A50" s="10">
        <v>46344</v>
      </c>
      <c r="B50" s="11">
        <v>326</v>
      </c>
      <c r="C50" s="11">
        <v>365</v>
      </c>
      <c r="D50" s="12"/>
      <c r="E50" s="13">
        <v>0.28</v>
      </c>
      <c r="F50" s="14">
        <f>+D50*E50/C50*B50</f>
        <v>0</v>
      </c>
      <c r="G50" s="12">
        <f>D50+F50</f>
        <v>0</v>
      </c>
    </row>
    <row r="51" spans="1:7" x14ac:dyDescent="0.25">
      <c r="A51" s="10">
        <v>46345</v>
      </c>
      <c r="B51" s="11">
        <v>325</v>
      </c>
      <c r="C51" s="11">
        <v>365</v>
      </c>
      <c r="D51" s="12"/>
      <c r="E51" s="13">
        <v>0.28</v>
      </c>
      <c r="F51" s="14">
        <f>+D51*E51/C51*B51</f>
        <v>0</v>
      </c>
      <c r="G51" s="12">
        <f>D51+F51</f>
        <v>0</v>
      </c>
    </row>
    <row r="52" spans="1:7" x14ac:dyDescent="0.25">
      <c r="A52" s="10">
        <v>46346</v>
      </c>
      <c r="B52" s="11">
        <v>324</v>
      </c>
      <c r="C52" s="11">
        <v>365</v>
      </c>
      <c r="D52" s="12"/>
      <c r="E52" s="13">
        <v>0.28</v>
      </c>
      <c r="F52" s="14">
        <f>+D52*E52/C52*B52</f>
        <v>0</v>
      </c>
      <c r="G52" s="12">
        <f>D52+F52</f>
        <v>0</v>
      </c>
    </row>
    <row r="53" spans="1:7" x14ac:dyDescent="0.25">
      <c r="A53" s="10">
        <v>46347</v>
      </c>
      <c r="B53" s="11">
        <v>323</v>
      </c>
      <c r="C53" s="11">
        <v>365</v>
      </c>
      <c r="D53" s="12"/>
      <c r="E53" s="13">
        <v>0.28</v>
      </c>
      <c r="F53" s="14">
        <f>+D53*E53/C53*B53</f>
        <v>0</v>
      </c>
      <c r="G53" s="12">
        <f>D53+F53</f>
        <v>0</v>
      </c>
    </row>
    <row r="54" spans="1:7" x14ac:dyDescent="0.25">
      <c r="A54" s="10">
        <v>46348</v>
      </c>
      <c r="B54" s="11">
        <v>322</v>
      </c>
      <c r="C54" s="11">
        <v>365</v>
      </c>
      <c r="D54" s="12"/>
      <c r="E54" s="13">
        <v>0.28</v>
      </c>
      <c r="F54" s="14">
        <f>+D54*E54/C54*B54</f>
        <v>0</v>
      </c>
      <c r="G54" s="12">
        <f>D54+F54</f>
        <v>0</v>
      </c>
    </row>
    <row r="55" spans="1:7" x14ac:dyDescent="0.25">
      <c r="A55" s="10">
        <v>46349</v>
      </c>
      <c r="B55" s="11">
        <v>321</v>
      </c>
      <c r="C55" s="11">
        <v>365</v>
      </c>
      <c r="D55" s="12"/>
      <c r="E55" s="13">
        <v>0.28</v>
      </c>
      <c r="F55" s="14">
        <f>+D55*E55/C55*B55</f>
        <v>0</v>
      </c>
      <c r="G55" s="12">
        <f>D55+F55</f>
        <v>0</v>
      </c>
    </row>
    <row r="56" spans="1:7" x14ac:dyDescent="0.25">
      <c r="A56" s="10">
        <v>46350</v>
      </c>
      <c r="B56" s="11">
        <v>320</v>
      </c>
      <c r="C56" s="11">
        <v>365</v>
      </c>
      <c r="D56" s="12"/>
      <c r="E56" s="13">
        <v>0.28</v>
      </c>
      <c r="F56" s="14">
        <f>+D56*E56/C56*B56</f>
        <v>0</v>
      </c>
      <c r="G56" s="12">
        <f>D56+F56</f>
        <v>0</v>
      </c>
    </row>
    <row r="57" spans="1:7" x14ac:dyDescent="0.25">
      <c r="A57" s="10">
        <v>46351</v>
      </c>
      <c r="B57" s="11">
        <v>319</v>
      </c>
      <c r="C57" s="11">
        <v>365</v>
      </c>
      <c r="D57" s="12"/>
      <c r="E57" s="13">
        <v>0.28</v>
      </c>
      <c r="F57" s="14">
        <f>+D57*E57/C57*B57</f>
        <v>0</v>
      </c>
      <c r="G57" s="12">
        <f>D57+F57</f>
        <v>0</v>
      </c>
    </row>
    <row r="58" spans="1:7" x14ac:dyDescent="0.25">
      <c r="A58" s="10">
        <v>46352</v>
      </c>
      <c r="B58" s="11">
        <v>318</v>
      </c>
      <c r="C58" s="11">
        <v>365</v>
      </c>
      <c r="D58" s="12"/>
      <c r="E58" s="13">
        <v>0.28</v>
      </c>
      <c r="F58" s="14">
        <f>+D58*E58/C58*B58</f>
        <v>0</v>
      </c>
      <c r="G58" s="12">
        <f>D58+F58</f>
        <v>0</v>
      </c>
    </row>
    <row r="59" spans="1:7" x14ac:dyDescent="0.25">
      <c r="A59" s="10">
        <v>46353</v>
      </c>
      <c r="B59" s="11">
        <v>317</v>
      </c>
      <c r="C59" s="11">
        <v>365</v>
      </c>
      <c r="D59" s="12"/>
      <c r="E59" s="13">
        <v>0.28</v>
      </c>
      <c r="F59" s="14">
        <f>+D59*E59/C59*B59</f>
        <v>0</v>
      </c>
      <c r="G59" s="12">
        <f>D59+F59</f>
        <v>0</v>
      </c>
    </row>
    <row r="60" spans="1:7" x14ac:dyDescent="0.25">
      <c r="A60" s="10">
        <v>46354</v>
      </c>
      <c r="B60" s="11">
        <v>316</v>
      </c>
      <c r="C60" s="11">
        <v>365</v>
      </c>
      <c r="D60" s="12"/>
      <c r="E60" s="13">
        <v>0.28</v>
      </c>
      <c r="F60" s="14">
        <f>+D60*E60/C60*B60</f>
        <v>0</v>
      </c>
      <c r="G60" s="12">
        <f>D60+F60</f>
        <v>0</v>
      </c>
    </row>
    <row r="61" spans="1:7" x14ac:dyDescent="0.25">
      <c r="A61" s="10">
        <v>46355</v>
      </c>
      <c r="B61" s="11">
        <v>315</v>
      </c>
      <c r="C61" s="11">
        <v>365</v>
      </c>
      <c r="D61" s="12"/>
      <c r="E61" s="13">
        <v>0.28</v>
      </c>
      <c r="F61" s="14">
        <f>+D61*E61/C61*B61</f>
        <v>0</v>
      </c>
      <c r="G61" s="12">
        <f>D61+F61</f>
        <v>0</v>
      </c>
    </row>
    <row r="62" spans="1:7" x14ac:dyDescent="0.25">
      <c r="A62" s="10">
        <v>46356</v>
      </c>
      <c r="B62" s="11">
        <v>314</v>
      </c>
      <c r="C62" s="11">
        <v>365</v>
      </c>
      <c r="D62" s="12"/>
      <c r="E62" s="13">
        <v>0.28</v>
      </c>
      <c r="F62" s="14">
        <f>+D62*E62/C62*B62</f>
        <v>0</v>
      </c>
      <c r="G62" s="12">
        <f>D62+F62</f>
        <v>0</v>
      </c>
    </row>
    <row r="63" spans="1:7" x14ac:dyDescent="0.25">
      <c r="A63" s="15" t="s">
        <v>20</v>
      </c>
      <c r="B63" s="15"/>
      <c r="C63" s="15" t="s">
        <v>18</v>
      </c>
      <c r="D63" s="16">
        <f>SUM(D33:D62)</f>
        <v>200</v>
      </c>
      <c r="E63" s="15" t="s">
        <v>19</v>
      </c>
      <c r="F63" s="17">
        <f>SUM(F33:F62)</f>
        <v>52.62465753424658</v>
      </c>
      <c r="G63" s="16">
        <f>SUM(G33:G62)</f>
        <v>252.62465753424658</v>
      </c>
    </row>
    <row r="64" spans="1:7" x14ac:dyDescent="0.25">
      <c r="A64" s="10">
        <v>46357</v>
      </c>
      <c r="B64" s="11">
        <v>313</v>
      </c>
      <c r="C64" s="11">
        <v>365</v>
      </c>
      <c r="D64" s="12"/>
      <c r="E64" s="13">
        <v>0.28</v>
      </c>
      <c r="F64" s="14">
        <f>+D64*E64/C64*B64</f>
        <v>0</v>
      </c>
      <c r="G64" s="12">
        <f>D64+F64</f>
        <v>0</v>
      </c>
    </row>
    <row r="65" spans="1:7" x14ac:dyDescent="0.25">
      <c r="A65" s="10">
        <v>46358</v>
      </c>
      <c r="B65" s="11">
        <v>312</v>
      </c>
      <c r="C65" s="11">
        <v>365</v>
      </c>
      <c r="D65" s="12"/>
      <c r="E65" s="13">
        <v>0.28</v>
      </c>
      <c r="F65" s="14">
        <f>+D65*E65/C65*B65</f>
        <v>0</v>
      </c>
      <c r="G65" s="12">
        <f>D65+F65</f>
        <v>0</v>
      </c>
    </row>
    <row r="66" spans="1:7" x14ac:dyDescent="0.25">
      <c r="A66" s="10">
        <v>46359</v>
      </c>
      <c r="B66" s="11">
        <v>311</v>
      </c>
      <c r="C66" s="11">
        <v>365</v>
      </c>
      <c r="D66" s="12"/>
      <c r="E66" s="13">
        <v>0.28</v>
      </c>
      <c r="F66" s="14">
        <f>+D66*E66/C66*B66</f>
        <v>0</v>
      </c>
      <c r="G66" s="12">
        <f>D66+F66</f>
        <v>0</v>
      </c>
    </row>
    <row r="67" spans="1:7" x14ac:dyDescent="0.25">
      <c r="A67" s="10">
        <v>46360</v>
      </c>
      <c r="B67" s="11">
        <v>310</v>
      </c>
      <c r="C67" s="11">
        <v>365</v>
      </c>
      <c r="D67" s="12"/>
      <c r="E67" s="13">
        <v>0.28</v>
      </c>
      <c r="F67" s="14">
        <f>+D67*E67/C67*B67</f>
        <v>0</v>
      </c>
      <c r="G67" s="12">
        <f>D67+F67</f>
        <v>0</v>
      </c>
    </row>
    <row r="68" spans="1:7" x14ac:dyDescent="0.25">
      <c r="A68" s="10">
        <v>46361</v>
      </c>
      <c r="B68" s="11">
        <v>309</v>
      </c>
      <c r="C68" s="11">
        <v>365</v>
      </c>
      <c r="D68" s="12"/>
      <c r="E68" s="13">
        <v>0.28</v>
      </c>
      <c r="F68" s="14">
        <f>+D68*E68/C68*B68</f>
        <v>0</v>
      </c>
      <c r="G68" s="12">
        <f>D68+F68</f>
        <v>0</v>
      </c>
    </row>
    <row r="69" spans="1:7" x14ac:dyDescent="0.25">
      <c r="A69" s="10">
        <v>46362</v>
      </c>
      <c r="B69" s="11">
        <v>308</v>
      </c>
      <c r="C69" s="11">
        <v>365</v>
      </c>
      <c r="D69" s="12"/>
      <c r="E69" s="13">
        <v>0.28</v>
      </c>
      <c r="F69" s="14">
        <f>+D69*E69/C69*B69</f>
        <v>0</v>
      </c>
      <c r="G69" s="12">
        <f>D69+F69</f>
        <v>0</v>
      </c>
    </row>
    <row r="70" spans="1:7" x14ac:dyDescent="0.25">
      <c r="A70" s="10">
        <v>46363</v>
      </c>
      <c r="B70" s="11">
        <v>307</v>
      </c>
      <c r="C70" s="11">
        <v>365</v>
      </c>
      <c r="D70" s="12"/>
      <c r="E70" s="13">
        <v>0.28</v>
      </c>
      <c r="F70" s="14">
        <f>+D70*E70/C70*B70</f>
        <v>0</v>
      </c>
      <c r="G70" s="12">
        <f>D70+F70</f>
        <v>0</v>
      </c>
    </row>
    <row r="71" spans="1:7" x14ac:dyDescent="0.25">
      <c r="A71" s="10">
        <v>46364</v>
      </c>
      <c r="B71" s="11">
        <v>306</v>
      </c>
      <c r="C71" s="11">
        <v>365</v>
      </c>
      <c r="D71" s="12"/>
      <c r="E71" s="13">
        <v>0.28</v>
      </c>
      <c r="F71" s="14">
        <f>+D71*E71/C71*B71</f>
        <v>0</v>
      </c>
      <c r="G71" s="12">
        <f>D71+F71</f>
        <v>0</v>
      </c>
    </row>
    <row r="72" spans="1:7" x14ac:dyDescent="0.25">
      <c r="A72" s="10">
        <v>46365</v>
      </c>
      <c r="B72" s="11">
        <v>305</v>
      </c>
      <c r="C72" s="11">
        <v>365</v>
      </c>
      <c r="D72" s="12"/>
      <c r="E72" s="13">
        <v>0.28</v>
      </c>
      <c r="F72" s="14">
        <f>+D72*E72/C72*B72</f>
        <v>0</v>
      </c>
      <c r="G72" s="12">
        <f>D72+F72</f>
        <v>0</v>
      </c>
    </row>
    <row r="73" spans="1:7" x14ac:dyDescent="0.25">
      <c r="A73" s="10">
        <v>46366</v>
      </c>
      <c r="B73" s="11">
        <v>304</v>
      </c>
      <c r="C73" s="11">
        <v>365</v>
      </c>
      <c r="D73" s="12"/>
      <c r="E73" s="13">
        <v>0.28</v>
      </c>
      <c r="F73" s="14">
        <f>+D73*E73/C73*B73</f>
        <v>0</v>
      </c>
      <c r="G73" s="12">
        <f>D73+F73</f>
        <v>0</v>
      </c>
    </row>
    <row r="74" spans="1:7" x14ac:dyDescent="0.25">
      <c r="A74" s="10">
        <v>46367</v>
      </c>
      <c r="B74" s="11">
        <v>303</v>
      </c>
      <c r="C74" s="11">
        <v>365</v>
      </c>
      <c r="D74" s="12"/>
      <c r="E74" s="13">
        <v>0.28</v>
      </c>
      <c r="F74" s="14">
        <f>+D74*E74/C74*B74</f>
        <v>0</v>
      </c>
      <c r="G74" s="12">
        <f>D74+F74</f>
        <v>0</v>
      </c>
    </row>
    <row r="75" spans="1:7" x14ac:dyDescent="0.25">
      <c r="A75" s="10">
        <v>46368</v>
      </c>
      <c r="B75" s="11">
        <v>302</v>
      </c>
      <c r="C75" s="11">
        <v>365</v>
      </c>
      <c r="D75" s="12"/>
      <c r="E75" s="13">
        <v>0.28</v>
      </c>
      <c r="F75" s="14">
        <f>+D75*E75/C75*B75</f>
        <v>0</v>
      </c>
      <c r="G75" s="12">
        <f>D75+F75</f>
        <v>0</v>
      </c>
    </row>
    <row r="76" spans="1:7" x14ac:dyDescent="0.25">
      <c r="A76" s="10">
        <v>46369</v>
      </c>
      <c r="B76" s="11">
        <v>301</v>
      </c>
      <c r="C76" s="11">
        <v>365</v>
      </c>
      <c r="D76" s="12"/>
      <c r="E76" s="13">
        <v>0.28</v>
      </c>
      <c r="F76" s="14">
        <f>+D76*E76/C76*B76</f>
        <v>0</v>
      </c>
      <c r="G76" s="12">
        <f>D76+F76</f>
        <v>0</v>
      </c>
    </row>
    <row r="77" spans="1:7" x14ac:dyDescent="0.25">
      <c r="A77" s="10">
        <v>46370</v>
      </c>
      <c r="B77" s="11">
        <v>300</v>
      </c>
      <c r="C77" s="11">
        <v>365</v>
      </c>
      <c r="D77" s="12"/>
      <c r="E77" s="13">
        <v>0.28</v>
      </c>
      <c r="F77" s="14">
        <f>+D77*E77/C77*B77</f>
        <v>0</v>
      </c>
      <c r="G77" s="12">
        <f>D77+F77</f>
        <v>0</v>
      </c>
    </row>
    <row r="78" spans="1:7" x14ac:dyDescent="0.25">
      <c r="A78" s="10">
        <v>46371</v>
      </c>
      <c r="B78" s="11">
        <v>299</v>
      </c>
      <c r="C78" s="11">
        <v>365</v>
      </c>
      <c r="D78" s="12"/>
      <c r="E78" s="13">
        <v>0.28</v>
      </c>
      <c r="F78" s="14">
        <f>+D78*E78/C78*B78</f>
        <v>0</v>
      </c>
      <c r="G78" s="12">
        <f>D78+F78</f>
        <v>0</v>
      </c>
    </row>
    <row r="79" spans="1:7" x14ac:dyDescent="0.25">
      <c r="A79" s="10">
        <v>46372</v>
      </c>
      <c r="B79" s="11">
        <v>298</v>
      </c>
      <c r="C79" s="11">
        <v>365</v>
      </c>
      <c r="D79" s="12"/>
      <c r="E79" s="13">
        <v>0.28</v>
      </c>
      <c r="F79" s="14">
        <f>+D79*E79/C79*B79</f>
        <v>0</v>
      </c>
      <c r="G79" s="12">
        <f>D79+F79</f>
        <v>0</v>
      </c>
    </row>
    <row r="80" spans="1:7" x14ac:dyDescent="0.25">
      <c r="A80" s="10">
        <v>46373</v>
      </c>
      <c r="B80" s="11">
        <v>297</v>
      </c>
      <c r="C80" s="11">
        <v>365</v>
      </c>
      <c r="D80" s="12"/>
      <c r="E80" s="13">
        <v>0.28</v>
      </c>
      <c r="F80" s="14">
        <f>+D80*E80/C80*B80</f>
        <v>0</v>
      </c>
      <c r="G80" s="12">
        <f>D80+F80</f>
        <v>0</v>
      </c>
    </row>
    <row r="81" spans="1:7" x14ac:dyDescent="0.25">
      <c r="A81" s="10">
        <v>46374</v>
      </c>
      <c r="B81" s="11">
        <v>296</v>
      </c>
      <c r="C81" s="11">
        <v>365</v>
      </c>
      <c r="D81" s="12"/>
      <c r="E81" s="13">
        <v>0.28</v>
      </c>
      <c r="F81" s="14">
        <f>+D81*E81/C81*B81</f>
        <v>0</v>
      </c>
      <c r="G81" s="12">
        <f>D81+F81</f>
        <v>0</v>
      </c>
    </row>
    <row r="82" spans="1:7" x14ac:dyDescent="0.25">
      <c r="A82" s="10">
        <v>46375</v>
      </c>
      <c r="B82" s="11">
        <v>295</v>
      </c>
      <c r="C82" s="11">
        <v>365</v>
      </c>
      <c r="D82" s="12"/>
      <c r="E82" s="13">
        <v>0.28</v>
      </c>
      <c r="F82" s="14">
        <f>+D82*E82/C82*B82</f>
        <v>0</v>
      </c>
      <c r="G82" s="12">
        <f>D82+F82</f>
        <v>0</v>
      </c>
    </row>
    <row r="83" spans="1:7" x14ac:dyDescent="0.25">
      <c r="A83" s="10">
        <v>46376</v>
      </c>
      <c r="B83" s="11">
        <v>294</v>
      </c>
      <c r="C83" s="11">
        <v>365</v>
      </c>
      <c r="D83" s="12"/>
      <c r="E83" s="13">
        <v>0.28</v>
      </c>
      <c r="F83" s="14">
        <f>+D83*E83/C83*B83</f>
        <v>0</v>
      </c>
      <c r="G83" s="12">
        <f>D83+F83</f>
        <v>0</v>
      </c>
    </row>
    <row r="84" spans="1:7" x14ac:dyDescent="0.25">
      <c r="A84" s="10">
        <v>46377</v>
      </c>
      <c r="B84" s="11">
        <v>293</v>
      </c>
      <c r="C84" s="11">
        <v>365</v>
      </c>
      <c r="D84" s="12"/>
      <c r="E84" s="13">
        <v>0.28</v>
      </c>
      <c r="F84" s="14">
        <f>+D84*E84/C84*B84</f>
        <v>0</v>
      </c>
      <c r="G84" s="12">
        <f>D84+F84</f>
        <v>0</v>
      </c>
    </row>
    <row r="85" spans="1:7" x14ac:dyDescent="0.25">
      <c r="A85" s="10">
        <v>46378</v>
      </c>
      <c r="B85" s="11">
        <v>292</v>
      </c>
      <c r="C85" s="11">
        <v>365</v>
      </c>
      <c r="D85" s="12"/>
      <c r="E85" s="13">
        <v>0.28</v>
      </c>
      <c r="F85" s="14">
        <f>+D85*E85/C85*B85</f>
        <v>0</v>
      </c>
      <c r="G85" s="12">
        <f>D85+F85</f>
        <v>0</v>
      </c>
    </row>
    <row r="86" spans="1:7" x14ac:dyDescent="0.25">
      <c r="A86" s="10">
        <v>46379</v>
      </c>
      <c r="B86" s="11">
        <v>291</v>
      </c>
      <c r="C86" s="11">
        <v>365</v>
      </c>
      <c r="D86" s="12"/>
      <c r="E86" s="13">
        <v>0.28</v>
      </c>
      <c r="F86" s="14">
        <f>+D86*E86/C86*B86</f>
        <v>0</v>
      </c>
      <c r="G86" s="12">
        <f>D86+F86</f>
        <v>0</v>
      </c>
    </row>
    <row r="87" spans="1:7" x14ac:dyDescent="0.25">
      <c r="A87" s="10">
        <v>46380</v>
      </c>
      <c r="B87" s="11">
        <v>290</v>
      </c>
      <c r="C87" s="11">
        <v>365</v>
      </c>
      <c r="D87" s="12"/>
      <c r="E87" s="13">
        <v>0.28</v>
      </c>
      <c r="F87" s="14">
        <f>+D87*E87/C87*B87</f>
        <v>0</v>
      </c>
      <c r="G87" s="12">
        <f>D87+F87</f>
        <v>0</v>
      </c>
    </row>
    <row r="88" spans="1:7" x14ac:dyDescent="0.25">
      <c r="A88" s="10">
        <v>46381</v>
      </c>
      <c r="B88" s="11">
        <v>289</v>
      </c>
      <c r="C88" s="11">
        <v>365</v>
      </c>
      <c r="D88" s="12"/>
      <c r="E88" s="13">
        <v>0.28</v>
      </c>
      <c r="F88" s="14">
        <f>+D88*E88/C88*B88</f>
        <v>0</v>
      </c>
      <c r="G88" s="12">
        <f>D88+F88</f>
        <v>0</v>
      </c>
    </row>
    <row r="89" spans="1:7" x14ac:dyDescent="0.25">
      <c r="A89" s="10">
        <v>46382</v>
      </c>
      <c r="B89" s="11">
        <v>288</v>
      </c>
      <c r="C89" s="11">
        <v>365</v>
      </c>
      <c r="D89" s="12"/>
      <c r="E89" s="13">
        <v>0.28</v>
      </c>
      <c r="F89" s="14">
        <f>+D89*E89/C89*B89</f>
        <v>0</v>
      </c>
      <c r="G89" s="12">
        <f>D89+F89</f>
        <v>0</v>
      </c>
    </row>
    <row r="90" spans="1:7" x14ac:dyDescent="0.25">
      <c r="A90" s="10">
        <v>46383</v>
      </c>
      <c r="B90" s="11">
        <v>287</v>
      </c>
      <c r="C90" s="11">
        <v>365</v>
      </c>
      <c r="D90" s="12"/>
      <c r="E90" s="13">
        <v>0.28</v>
      </c>
      <c r="F90" s="14">
        <f>+D90*E90/C90*B90</f>
        <v>0</v>
      </c>
      <c r="G90" s="12">
        <f>D90+F90</f>
        <v>0</v>
      </c>
    </row>
    <row r="91" spans="1:7" x14ac:dyDescent="0.25">
      <c r="A91" s="10">
        <v>46384</v>
      </c>
      <c r="B91" s="11">
        <v>286</v>
      </c>
      <c r="C91" s="11">
        <v>365</v>
      </c>
      <c r="D91" s="12"/>
      <c r="E91" s="13">
        <v>0.28</v>
      </c>
      <c r="F91" s="14">
        <f>+D91*E91/C91*B91</f>
        <v>0</v>
      </c>
      <c r="G91" s="12">
        <f>D91+F91</f>
        <v>0</v>
      </c>
    </row>
    <row r="92" spans="1:7" x14ac:dyDescent="0.25">
      <c r="A92" s="10">
        <v>46385</v>
      </c>
      <c r="B92" s="11">
        <v>285</v>
      </c>
      <c r="C92" s="11">
        <v>365</v>
      </c>
      <c r="D92" s="12"/>
      <c r="E92" s="13">
        <v>0.28</v>
      </c>
      <c r="F92" s="14">
        <f>+D92*E92/C92*B92</f>
        <v>0</v>
      </c>
      <c r="G92" s="12">
        <f>D92+F92</f>
        <v>0</v>
      </c>
    </row>
    <row r="93" spans="1:7" x14ac:dyDescent="0.25">
      <c r="A93" s="10">
        <v>46386</v>
      </c>
      <c r="B93" s="11">
        <v>284</v>
      </c>
      <c r="C93" s="11">
        <v>365</v>
      </c>
      <c r="D93" s="12"/>
      <c r="E93" s="13">
        <v>0.28</v>
      </c>
      <c r="F93" s="14">
        <f>+D93*E93/C93*B93</f>
        <v>0</v>
      </c>
      <c r="G93" s="12">
        <f>D93+F93</f>
        <v>0</v>
      </c>
    </row>
    <row r="94" spans="1:7" x14ac:dyDescent="0.25">
      <c r="A94" s="10">
        <v>46387</v>
      </c>
      <c r="B94" s="11">
        <v>283</v>
      </c>
      <c r="C94" s="11">
        <v>365</v>
      </c>
      <c r="D94" s="12"/>
      <c r="E94" s="13">
        <v>0.28</v>
      </c>
      <c r="F94" s="14">
        <f>+D94*E94/C94*B94</f>
        <v>0</v>
      </c>
      <c r="G94" s="12">
        <f>D94+F94</f>
        <v>0</v>
      </c>
    </row>
    <row r="95" spans="1:7" x14ac:dyDescent="0.25">
      <c r="A95" s="15" t="s">
        <v>21</v>
      </c>
      <c r="B95" s="15"/>
      <c r="C95" s="15" t="s">
        <v>18</v>
      </c>
      <c r="D95" s="16">
        <f>SUM(D64:D94)</f>
        <v>0</v>
      </c>
      <c r="E95" s="15" t="s">
        <v>19</v>
      </c>
      <c r="F95" s="17">
        <f>SUM(F64:F94)</f>
        <v>0</v>
      </c>
      <c r="G95" s="16">
        <f>SUM(G64:G94)</f>
        <v>0</v>
      </c>
    </row>
    <row r="96" spans="1:7" x14ac:dyDescent="0.25">
      <c r="A96" s="10">
        <v>46388</v>
      </c>
      <c r="B96" s="11">
        <v>282</v>
      </c>
      <c r="C96" s="11">
        <v>365</v>
      </c>
      <c r="D96" s="12"/>
      <c r="E96" s="13">
        <v>0.28</v>
      </c>
      <c r="F96" s="14">
        <f>+D96*E96/C96*B96</f>
        <v>0</v>
      </c>
      <c r="G96" s="12">
        <f>D96+F96</f>
        <v>0</v>
      </c>
    </row>
    <row r="97" spans="1:7" x14ac:dyDescent="0.25">
      <c r="A97" s="10">
        <v>46389</v>
      </c>
      <c r="B97" s="11">
        <v>281</v>
      </c>
      <c r="C97" s="11">
        <v>365</v>
      </c>
      <c r="D97" s="12"/>
      <c r="E97" s="13">
        <v>0.28</v>
      </c>
      <c r="F97" s="14">
        <f>+D97*E97/C97*B97</f>
        <v>0</v>
      </c>
      <c r="G97" s="12">
        <f>D97+F97</f>
        <v>0</v>
      </c>
    </row>
    <row r="98" spans="1:7" x14ac:dyDescent="0.25">
      <c r="A98" s="10">
        <v>46390</v>
      </c>
      <c r="B98" s="11">
        <v>280</v>
      </c>
      <c r="C98" s="11">
        <v>365</v>
      </c>
      <c r="D98" s="12"/>
      <c r="E98" s="13">
        <v>0.28</v>
      </c>
      <c r="F98" s="14">
        <f>+D98*E98/C98*B98</f>
        <v>0</v>
      </c>
      <c r="G98" s="12">
        <f>D98+F98</f>
        <v>0</v>
      </c>
    </row>
    <row r="99" spans="1:7" x14ac:dyDescent="0.25">
      <c r="A99" s="10">
        <v>46391</v>
      </c>
      <c r="B99" s="11">
        <v>279</v>
      </c>
      <c r="C99" s="11">
        <v>365</v>
      </c>
      <c r="D99" s="12"/>
      <c r="E99" s="13">
        <v>0.28</v>
      </c>
      <c r="F99" s="14">
        <f>+D99*E99/C99*B99</f>
        <v>0</v>
      </c>
      <c r="G99" s="12">
        <f>D99+F99</f>
        <v>0</v>
      </c>
    </row>
    <row r="100" spans="1:7" x14ac:dyDescent="0.25">
      <c r="A100" s="10">
        <v>46392</v>
      </c>
      <c r="B100" s="11">
        <v>278</v>
      </c>
      <c r="C100" s="11">
        <v>365</v>
      </c>
      <c r="D100" s="12"/>
      <c r="E100" s="13">
        <v>0.28</v>
      </c>
      <c r="F100" s="14">
        <f>+D100*E100/C100*B100</f>
        <v>0</v>
      </c>
      <c r="G100" s="12">
        <f>D100+F100</f>
        <v>0</v>
      </c>
    </row>
    <row r="101" spans="1:7" x14ac:dyDescent="0.25">
      <c r="A101" s="10">
        <v>46393</v>
      </c>
      <c r="B101" s="11">
        <v>277</v>
      </c>
      <c r="C101" s="11">
        <v>365</v>
      </c>
      <c r="D101" s="12"/>
      <c r="E101" s="13">
        <v>0.28</v>
      </c>
      <c r="F101" s="14">
        <f>+D101*E101/C101*B101</f>
        <v>0</v>
      </c>
      <c r="G101" s="12">
        <f>D101+F101</f>
        <v>0</v>
      </c>
    </row>
    <row r="102" spans="1:7" x14ac:dyDescent="0.25">
      <c r="A102" s="10">
        <v>46394</v>
      </c>
      <c r="B102" s="11">
        <v>276</v>
      </c>
      <c r="C102" s="11">
        <v>365</v>
      </c>
      <c r="D102" s="12"/>
      <c r="E102" s="13">
        <v>0.28</v>
      </c>
      <c r="F102" s="14">
        <f>+D102*E102/C102*B102</f>
        <v>0</v>
      </c>
      <c r="G102" s="12">
        <f>D102+F102</f>
        <v>0</v>
      </c>
    </row>
    <row r="103" spans="1:7" x14ac:dyDescent="0.25">
      <c r="A103" s="10">
        <v>46395</v>
      </c>
      <c r="B103" s="11">
        <v>275</v>
      </c>
      <c r="C103" s="11">
        <v>365</v>
      </c>
      <c r="D103" s="12"/>
      <c r="E103" s="13">
        <v>0.28</v>
      </c>
      <c r="F103" s="14">
        <f>+D103*E103/C103*B103</f>
        <v>0</v>
      </c>
      <c r="G103" s="12">
        <f>D103+F103</f>
        <v>0</v>
      </c>
    </row>
    <row r="104" spans="1:7" x14ac:dyDescent="0.25">
      <c r="A104" s="10">
        <v>46396</v>
      </c>
      <c r="B104" s="11">
        <v>274</v>
      </c>
      <c r="C104" s="11">
        <v>365</v>
      </c>
      <c r="D104" s="12"/>
      <c r="E104" s="13">
        <v>0.28</v>
      </c>
      <c r="F104" s="14">
        <f>+D104*E104/C104*B104</f>
        <v>0</v>
      </c>
      <c r="G104" s="12">
        <f>D104+F104</f>
        <v>0</v>
      </c>
    </row>
    <row r="105" spans="1:7" x14ac:dyDescent="0.25">
      <c r="A105" s="10">
        <v>46397</v>
      </c>
      <c r="B105" s="11">
        <v>273</v>
      </c>
      <c r="C105" s="11">
        <v>365</v>
      </c>
      <c r="D105" s="12"/>
      <c r="E105" s="13">
        <v>0.28</v>
      </c>
      <c r="F105" s="14">
        <f>+D105*E105/C105*B105</f>
        <v>0</v>
      </c>
      <c r="G105" s="12">
        <f>D105+F105</f>
        <v>0</v>
      </c>
    </row>
    <row r="106" spans="1:7" x14ac:dyDescent="0.25">
      <c r="A106" s="10">
        <v>46398</v>
      </c>
      <c r="B106" s="11">
        <v>272</v>
      </c>
      <c r="C106" s="11">
        <v>365</v>
      </c>
      <c r="D106" s="12"/>
      <c r="E106" s="13">
        <v>0.28</v>
      </c>
      <c r="F106" s="14">
        <f>+D106*E106/C106*B106</f>
        <v>0</v>
      </c>
      <c r="G106" s="12">
        <f>D106+F106</f>
        <v>0</v>
      </c>
    </row>
    <row r="107" spans="1:7" x14ac:dyDescent="0.25">
      <c r="A107" s="10">
        <v>46399</v>
      </c>
      <c r="B107" s="11">
        <v>271</v>
      </c>
      <c r="C107" s="11">
        <v>365</v>
      </c>
      <c r="D107" s="12"/>
      <c r="E107" s="13">
        <v>0.28</v>
      </c>
      <c r="F107" s="14">
        <f>+D107*E107/C107*B107</f>
        <v>0</v>
      </c>
      <c r="G107" s="12">
        <f>D107+F107</f>
        <v>0</v>
      </c>
    </row>
    <row r="108" spans="1:7" x14ac:dyDescent="0.25">
      <c r="A108" s="10">
        <v>46400</v>
      </c>
      <c r="B108" s="11">
        <v>270</v>
      </c>
      <c r="C108" s="11">
        <v>365</v>
      </c>
      <c r="D108" s="12"/>
      <c r="E108" s="13">
        <v>0.28</v>
      </c>
      <c r="F108" s="14">
        <f>+D108*E108/C108*B108</f>
        <v>0</v>
      </c>
      <c r="G108" s="12">
        <f>D108+F108</f>
        <v>0</v>
      </c>
    </row>
    <row r="109" spans="1:7" x14ac:dyDescent="0.25">
      <c r="A109" s="10">
        <v>46401</v>
      </c>
      <c r="B109" s="11">
        <v>269</v>
      </c>
      <c r="C109" s="11">
        <v>365</v>
      </c>
      <c r="D109" s="12"/>
      <c r="E109" s="13">
        <v>0.28</v>
      </c>
      <c r="F109" s="14">
        <f>+D109*E109/C109*B109</f>
        <v>0</v>
      </c>
      <c r="G109" s="12">
        <f>D109+F109</f>
        <v>0</v>
      </c>
    </row>
    <row r="110" spans="1:7" x14ac:dyDescent="0.25">
      <c r="A110" s="10">
        <v>46402</v>
      </c>
      <c r="B110" s="11">
        <v>268</v>
      </c>
      <c r="C110" s="11">
        <v>365</v>
      </c>
      <c r="D110" s="12"/>
      <c r="E110" s="13">
        <v>0.28</v>
      </c>
      <c r="F110" s="14">
        <f>+D110*E110/C110*B110</f>
        <v>0</v>
      </c>
      <c r="G110" s="12">
        <f>D110+F110</f>
        <v>0</v>
      </c>
    </row>
    <row r="111" spans="1:7" x14ac:dyDescent="0.25">
      <c r="A111" s="10">
        <v>46403</v>
      </c>
      <c r="B111" s="11">
        <v>267</v>
      </c>
      <c r="C111" s="11">
        <v>365</v>
      </c>
      <c r="D111" s="12"/>
      <c r="E111" s="13">
        <v>0.28</v>
      </c>
      <c r="F111" s="14">
        <f>+D111*E111/C111*B111</f>
        <v>0</v>
      </c>
      <c r="G111" s="12">
        <f>D111+F111</f>
        <v>0</v>
      </c>
    </row>
    <row r="112" spans="1:7" x14ac:dyDescent="0.25">
      <c r="A112" s="10">
        <v>46404</v>
      </c>
      <c r="B112" s="11">
        <v>266</v>
      </c>
      <c r="C112" s="11">
        <v>365</v>
      </c>
      <c r="D112" s="12"/>
      <c r="E112" s="13">
        <v>0.28</v>
      </c>
      <c r="F112" s="14">
        <f>+D112*E112/C112*B112</f>
        <v>0</v>
      </c>
      <c r="G112" s="12">
        <f>D112+F112</f>
        <v>0</v>
      </c>
    </row>
    <row r="113" spans="1:7" x14ac:dyDescent="0.25">
      <c r="A113" s="10">
        <v>46405</v>
      </c>
      <c r="B113" s="11">
        <v>265</v>
      </c>
      <c r="C113" s="11">
        <v>365</v>
      </c>
      <c r="D113" s="12"/>
      <c r="E113" s="13">
        <v>0.28</v>
      </c>
      <c r="F113" s="14">
        <f>+D113*E113/C113*B113</f>
        <v>0</v>
      </c>
      <c r="G113" s="12">
        <f>D113+F113</f>
        <v>0</v>
      </c>
    </row>
    <row r="114" spans="1:7" x14ac:dyDescent="0.25">
      <c r="A114" s="10">
        <v>46406</v>
      </c>
      <c r="B114" s="11">
        <v>264</v>
      </c>
      <c r="C114" s="11">
        <v>365</v>
      </c>
      <c r="D114" s="12"/>
      <c r="E114" s="13">
        <v>0.28</v>
      </c>
      <c r="F114" s="14">
        <f>+D114*E114/C114*B114</f>
        <v>0</v>
      </c>
      <c r="G114" s="12">
        <f>D114+F114</f>
        <v>0</v>
      </c>
    </row>
    <row r="115" spans="1:7" x14ac:dyDescent="0.25">
      <c r="A115" s="10">
        <v>46407</v>
      </c>
      <c r="B115" s="11">
        <v>263</v>
      </c>
      <c r="C115" s="11">
        <v>365</v>
      </c>
      <c r="D115" s="12"/>
      <c r="E115" s="13">
        <v>0.28</v>
      </c>
      <c r="F115" s="14">
        <f>+D115*E115/C115*B115</f>
        <v>0</v>
      </c>
      <c r="G115" s="12">
        <f>D115+F115</f>
        <v>0</v>
      </c>
    </row>
    <row r="116" spans="1:7" x14ac:dyDescent="0.25">
      <c r="A116" s="10">
        <v>46408</v>
      </c>
      <c r="B116" s="11">
        <v>262</v>
      </c>
      <c r="C116" s="11">
        <v>365</v>
      </c>
      <c r="D116" s="12"/>
      <c r="E116" s="13">
        <v>0.28</v>
      </c>
      <c r="F116" s="14">
        <f>+D116*E116/C116*B116</f>
        <v>0</v>
      </c>
      <c r="G116" s="12">
        <f>D116+F116</f>
        <v>0</v>
      </c>
    </row>
    <row r="117" spans="1:7" x14ac:dyDescent="0.25">
      <c r="A117" s="10">
        <v>46409</v>
      </c>
      <c r="B117" s="11">
        <v>261</v>
      </c>
      <c r="C117" s="11">
        <v>365</v>
      </c>
      <c r="D117" s="12"/>
      <c r="E117" s="13">
        <v>0.28</v>
      </c>
      <c r="F117" s="14">
        <f>+D117*E117/C117*B117</f>
        <v>0</v>
      </c>
      <c r="G117" s="12">
        <f>D117+F117</f>
        <v>0</v>
      </c>
    </row>
    <row r="118" spans="1:7" x14ac:dyDescent="0.25">
      <c r="A118" s="10">
        <v>46410</v>
      </c>
      <c r="B118" s="11">
        <v>260</v>
      </c>
      <c r="C118" s="11">
        <v>365</v>
      </c>
      <c r="D118" s="12"/>
      <c r="E118" s="13">
        <v>0.28</v>
      </c>
      <c r="F118" s="14">
        <f>+D118*E118/C118*B118</f>
        <v>0</v>
      </c>
      <c r="G118" s="12">
        <f>D118+F118</f>
        <v>0</v>
      </c>
    </row>
    <row r="119" spans="1:7" x14ac:dyDescent="0.25">
      <c r="A119" s="10">
        <v>46411</v>
      </c>
      <c r="B119" s="11">
        <v>259</v>
      </c>
      <c r="C119" s="11">
        <v>365</v>
      </c>
      <c r="D119" s="12"/>
      <c r="E119" s="13">
        <v>0.28</v>
      </c>
      <c r="F119" s="14">
        <f>+D119*E119/C119*B119</f>
        <v>0</v>
      </c>
      <c r="G119" s="12">
        <f>D119+F119</f>
        <v>0</v>
      </c>
    </row>
    <row r="120" spans="1:7" x14ac:dyDescent="0.25">
      <c r="A120" s="10">
        <v>46412</v>
      </c>
      <c r="B120" s="11">
        <v>258</v>
      </c>
      <c r="C120" s="11">
        <v>365</v>
      </c>
      <c r="D120" s="12"/>
      <c r="E120" s="13">
        <v>0.28</v>
      </c>
      <c r="F120" s="14">
        <f>+D120*E120/C120*B120</f>
        <v>0</v>
      </c>
      <c r="G120" s="12">
        <f>D120+F120</f>
        <v>0</v>
      </c>
    </row>
    <row r="121" spans="1:7" x14ac:dyDescent="0.25">
      <c r="A121" s="10">
        <v>46413</v>
      </c>
      <c r="B121" s="11">
        <v>257</v>
      </c>
      <c r="C121" s="11">
        <v>365</v>
      </c>
      <c r="D121" s="12"/>
      <c r="E121" s="13">
        <v>0.28</v>
      </c>
      <c r="F121" s="14">
        <f>+D121*E121/C121*B121</f>
        <v>0</v>
      </c>
      <c r="G121" s="12">
        <f>D121+F121</f>
        <v>0</v>
      </c>
    </row>
    <row r="122" spans="1:7" x14ac:dyDescent="0.25">
      <c r="A122" s="10">
        <v>46414</v>
      </c>
      <c r="B122" s="11">
        <v>256</v>
      </c>
      <c r="C122" s="11">
        <v>365</v>
      </c>
      <c r="D122" s="12"/>
      <c r="E122" s="13">
        <v>0.28</v>
      </c>
      <c r="F122" s="14">
        <f>+D122*E122/C122*B122</f>
        <v>0</v>
      </c>
      <c r="G122" s="12">
        <f>D122+F122</f>
        <v>0</v>
      </c>
    </row>
    <row r="123" spans="1:7" x14ac:dyDescent="0.25">
      <c r="A123" s="10">
        <v>46415</v>
      </c>
      <c r="B123" s="11">
        <v>255</v>
      </c>
      <c r="C123" s="11">
        <v>365</v>
      </c>
      <c r="D123" s="12"/>
      <c r="E123" s="13">
        <v>0.28</v>
      </c>
      <c r="F123" s="14">
        <f>+D123*E123/C123*B123</f>
        <v>0</v>
      </c>
      <c r="G123" s="12">
        <f>D123+F123</f>
        <v>0</v>
      </c>
    </row>
    <row r="124" spans="1:7" x14ac:dyDescent="0.25">
      <c r="A124" s="10">
        <v>46416</v>
      </c>
      <c r="B124" s="11">
        <v>254</v>
      </c>
      <c r="C124" s="11">
        <v>365</v>
      </c>
      <c r="D124" s="12"/>
      <c r="E124" s="13">
        <v>0.28</v>
      </c>
      <c r="F124" s="14">
        <f>+D124*E124/C124*B124</f>
        <v>0</v>
      </c>
      <c r="G124" s="12">
        <f>D124+F124</f>
        <v>0</v>
      </c>
    </row>
    <row r="125" spans="1:7" x14ac:dyDescent="0.25">
      <c r="A125" s="10">
        <v>46417</v>
      </c>
      <c r="B125" s="11">
        <v>253</v>
      </c>
      <c r="C125" s="11">
        <v>365</v>
      </c>
      <c r="D125" s="12"/>
      <c r="E125" s="13">
        <v>0.28</v>
      </c>
      <c r="F125" s="14">
        <f>+D125*E125/C125*B125</f>
        <v>0</v>
      </c>
      <c r="G125" s="12">
        <f>D125+F125</f>
        <v>0</v>
      </c>
    </row>
    <row r="126" spans="1:7" x14ac:dyDescent="0.25">
      <c r="A126" s="10">
        <v>46418</v>
      </c>
      <c r="B126" s="11">
        <v>252</v>
      </c>
      <c r="C126" s="11">
        <v>365</v>
      </c>
      <c r="D126" s="12"/>
      <c r="E126" s="13">
        <v>0.28</v>
      </c>
      <c r="F126" s="14">
        <f>+D126*E126/C126*B126</f>
        <v>0</v>
      </c>
      <c r="G126" s="12">
        <f>D126+F126</f>
        <v>0</v>
      </c>
    </row>
    <row r="127" spans="1:7" x14ac:dyDescent="0.25">
      <c r="A127" s="15" t="s">
        <v>22</v>
      </c>
      <c r="B127" s="15"/>
      <c r="C127" s="15" t="s">
        <v>18</v>
      </c>
      <c r="D127" s="16">
        <f>SUM(D96:D126)</f>
        <v>0</v>
      </c>
      <c r="E127" s="15" t="s">
        <v>19</v>
      </c>
      <c r="F127" s="17">
        <f>SUM(F96:F126)</f>
        <v>0</v>
      </c>
      <c r="G127" s="16">
        <f>SUM(G96:G126)</f>
        <v>0</v>
      </c>
    </row>
    <row r="128" spans="1:7" x14ac:dyDescent="0.25">
      <c r="A128" s="10">
        <v>46419</v>
      </c>
      <c r="B128" s="11">
        <v>251</v>
      </c>
      <c r="C128" s="11">
        <v>365</v>
      </c>
      <c r="D128" s="12"/>
      <c r="E128" s="13">
        <v>0.28</v>
      </c>
      <c r="F128" s="14">
        <f>+D128*E128/C128*B128</f>
        <v>0</v>
      </c>
      <c r="G128" s="12">
        <f>D128+F128</f>
        <v>0</v>
      </c>
    </row>
    <row r="129" spans="1:7" x14ac:dyDescent="0.25">
      <c r="A129" s="10">
        <v>46420</v>
      </c>
      <c r="B129" s="11">
        <v>250</v>
      </c>
      <c r="C129" s="11">
        <v>365</v>
      </c>
      <c r="D129" s="12"/>
      <c r="E129" s="13">
        <v>0.28</v>
      </c>
      <c r="F129" s="14">
        <f>+D129*E129/C129*B129</f>
        <v>0</v>
      </c>
      <c r="G129" s="12">
        <f>D129+F129</f>
        <v>0</v>
      </c>
    </row>
    <row r="130" spans="1:7" x14ac:dyDescent="0.25">
      <c r="A130" s="10">
        <v>46421</v>
      </c>
      <c r="B130" s="11">
        <v>249</v>
      </c>
      <c r="C130" s="11">
        <v>365</v>
      </c>
      <c r="D130" s="12"/>
      <c r="E130" s="13">
        <v>0.28</v>
      </c>
      <c r="F130" s="14">
        <f>+D130*E130/C130*B130</f>
        <v>0</v>
      </c>
      <c r="G130" s="12">
        <f>D130+F130</f>
        <v>0</v>
      </c>
    </row>
    <row r="131" spans="1:7" x14ac:dyDescent="0.25">
      <c r="A131" s="10">
        <v>46422</v>
      </c>
      <c r="B131" s="11">
        <v>248</v>
      </c>
      <c r="C131" s="11">
        <v>365</v>
      </c>
      <c r="D131" s="12"/>
      <c r="E131" s="13">
        <v>0.28</v>
      </c>
      <c r="F131" s="14">
        <f>+D131*E131/C131*B131</f>
        <v>0</v>
      </c>
      <c r="G131" s="12">
        <f>D131+F131</f>
        <v>0</v>
      </c>
    </row>
    <row r="132" spans="1:7" x14ac:dyDescent="0.25">
      <c r="A132" s="10">
        <v>46423</v>
      </c>
      <c r="B132" s="11">
        <v>247</v>
      </c>
      <c r="C132" s="11">
        <v>365</v>
      </c>
      <c r="D132" s="12"/>
      <c r="E132" s="13">
        <v>0.28</v>
      </c>
      <c r="F132" s="14">
        <f>+D132*E132/C132*B132</f>
        <v>0</v>
      </c>
      <c r="G132" s="12">
        <f>D132+F132</f>
        <v>0</v>
      </c>
    </row>
    <row r="133" spans="1:7" x14ac:dyDescent="0.25">
      <c r="A133" s="10">
        <v>46424</v>
      </c>
      <c r="B133" s="11">
        <v>246</v>
      </c>
      <c r="C133" s="11">
        <v>365</v>
      </c>
      <c r="D133" s="12"/>
      <c r="E133" s="13">
        <v>0.28</v>
      </c>
      <c r="F133" s="14">
        <f>+D133*E133/C133*B133</f>
        <v>0</v>
      </c>
      <c r="G133" s="12">
        <f>D133+F133</f>
        <v>0</v>
      </c>
    </row>
    <row r="134" spans="1:7" x14ac:dyDescent="0.25">
      <c r="A134" s="10">
        <v>46425</v>
      </c>
      <c r="B134" s="11">
        <v>245</v>
      </c>
      <c r="C134" s="11">
        <v>365</v>
      </c>
      <c r="D134" s="12"/>
      <c r="E134" s="13">
        <v>0.28</v>
      </c>
      <c r="F134" s="14">
        <f>+D134*E134/C134*B134</f>
        <v>0</v>
      </c>
      <c r="G134" s="12">
        <f>D134+F134</f>
        <v>0</v>
      </c>
    </row>
    <row r="135" spans="1:7" x14ac:dyDescent="0.25">
      <c r="A135" s="10">
        <v>46426</v>
      </c>
      <c r="B135" s="11">
        <v>244</v>
      </c>
      <c r="C135" s="11">
        <v>365</v>
      </c>
      <c r="D135" s="12"/>
      <c r="E135" s="13">
        <v>0.28</v>
      </c>
      <c r="F135" s="14">
        <f>+D135*E135/C135*B135</f>
        <v>0</v>
      </c>
      <c r="G135" s="12">
        <f>D135+F135</f>
        <v>0</v>
      </c>
    </row>
    <row r="136" spans="1:7" x14ac:dyDescent="0.25">
      <c r="A136" s="10">
        <v>46427</v>
      </c>
      <c r="B136" s="11">
        <v>243</v>
      </c>
      <c r="C136" s="11">
        <v>365</v>
      </c>
      <c r="D136" s="12"/>
      <c r="E136" s="13">
        <v>0.28</v>
      </c>
      <c r="F136" s="14">
        <f>+D136*E136/C136*B136</f>
        <v>0</v>
      </c>
      <c r="G136" s="12">
        <f>D136+F136</f>
        <v>0</v>
      </c>
    </row>
    <row r="137" spans="1:7" x14ac:dyDescent="0.25">
      <c r="A137" s="10">
        <v>46428</v>
      </c>
      <c r="B137" s="11">
        <v>242</v>
      </c>
      <c r="C137" s="11">
        <v>365</v>
      </c>
      <c r="D137" s="12"/>
      <c r="E137" s="13">
        <v>0.28</v>
      </c>
      <c r="F137" s="14">
        <f>+D137*E137/C137*B137</f>
        <v>0</v>
      </c>
      <c r="G137" s="12">
        <f>D137+F137</f>
        <v>0</v>
      </c>
    </row>
    <row r="138" spans="1:7" x14ac:dyDescent="0.25">
      <c r="A138" s="10">
        <v>46429</v>
      </c>
      <c r="B138" s="11">
        <v>241</v>
      </c>
      <c r="C138" s="11">
        <v>365</v>
      </c>
      <c r="D138" s="12"/>
      <c r="E138" s="13">
        <v>0.28</v>
      </c>
      <c r="F138" s="14">
        <f>+D138*E138/C138*B138</f>
        <v>0</v>
      </c>
      <c r="G138" s="12">
        <f>D138+F138</f>
        <v>0</v>
      </c>
    </row>
    <row r="139" spans="1:7" x14ac:dyDescent="0.25">
      <c r="A139" s="10">
        <v>46430</v>
      </c>
      <c r="B139" s="11">
        <v>240</v>
      </c>
      <c r="C139" s="11">
        <v>365</v>
      </c>
      <c r="D139" s="12"/>
      <c r="E139" s="13">
        <v>0.28</v>
      </c>
      <c r="F139" s="14">
        <f>+D139*E139/C139*B139</f>
        <v>0</v>
      </c>
      <c r="G139" s="12">
        <f>D139+F139</f>
        <v>0</v>
      </c>
    </row>
    <row r="140" spans="1:7" x14ac:dyDescent="0.25">
      <c r="A140" s="10">
        <v>46431</v>
      </c>
      <c r="B140" s="11">
        <v>239</v>
      </c>
      <c r="C140" s="11">
        <v>365</v>
      </c>
      <c r="D140" s="12"/>
      <c r="E140" s="13">
        <v>0.28</v>
      </c>
      <c r="F140" s="14">
        <f>+D140*E140/C140*B140</f>
        <v>0</v>
      </c>
      <c r="G140" s="12">
        <f>D140+F140</f>
        <v>0</v>
      </c>
    </row>
    <row r="141" spans="1:7" x14ac:dyDescent="0.25">
      <c r="A141" s="10">
        <v>46432</v>
      </c>
      <c r="B141" s="11">
        <v>238</v>
      </c>
      <c r="C141" s="11">
        <v>365</v>
      </c>
      <c r="D141" s="12"/>
      <c r="E141" s="13">
        <v>0.28</v>
      </c>
      <c r="F141" s="14">
        <f>+D141*E141/C141*B141</f>
        <v>0</v>
      </c>
      <c r="G141" s="12">
        <f>D141+F141</f>
        <v>0</v>
      </c>
    </row>
    <row r="142" spans="1:7" x14ac:dyDescent="0.25">
      <c r="A142" s="10">
        <v>46433</v>
      </c>
      <c r="B142" s="11">
        <v>237</v>
      </c>
      <c r="C142" s="11">
        <v>365</v>
      </c>
      <c r="D142" s="12"/>
      <c r="E142" s="13">
        <v>0.28</v>
      </c>
      <c r="F142" s="14">
        <f>+D142*E142/C142*B142</f>
        <v>0</v>
      </c>
      <c r="G142" s="12">
        <f>D142+F142</f>
        <v>0</v>
      </c>
    </row>
    <row r="143" spans="1:7" x14ac:dyDescent="0.25">
      <c r="A143" s="10">
        <v>46434</v>
      </c>
      <c r="B143" s="11">
        <v>236</v>
      </c>
      <c r="C143" s="11">
        <v>365</v>
      </c>
      <c r="D143" s="12"/>
      <c r="E143" s="13">
        <v>0.28</v>
      </c>
      <c r="F143" s="14">
        <f>+D143*E143/C143*B143</f>
        <v>0</v>
      </c>
      <c r="G143" s="12">
        <f>D143+F143</f>
        <v>0</v>
      </c>
    </row>
    <row r="144" spans="1:7" x14ac:dyDescent="0.25">
      <c r="A144" s="10">
        <v>46435</v>
      </c>
      <c r="B144" s="11">
        <v>235</v>
      </c>
      <c r="C144" s="11">
        <v>365</v>
      </c>
      <c r="D144" s="12"/>
      <c r="E144" s="13">
        <v>0.28</v>
      </c>
      <c r="F144" s="14">
        <f>+D144*E144/C144*B144</f>
        <v>0</v>
      </c>
      <c r="G144" s="12">
        <f>D144+F144</f>
        <v>0</v>
      </c>
    </row>
    <row r="145" spans="1:7" x14ac:dyDescent="0.25">
      <c r="A145" s="10">
        <v>46436</v>
      </c>
      <c r="B145" s="11">
        <v>234</v>
      </c>
      <c r="C145" s="11">
        <v>365</v>
      </c>
      <c r="D145" s="12"/>
      <c r="E145" s="13">
        <v>0.28</v>
      </c>
      <c r="F145" s="14">
        <f>+D145*E145/C145*B145</f>
        <v>0</v>
      </c>
      <c r="G145" s="12">
        <f>D145+F145</f>
        <v>0</v>
      </c>
    </row>
    <row r="146" spans="1:7" x14ac:dyDescent="0.25">
      <c r="A146" s="10">
        <v>46437</v>
      </c>
      <c r="B146" s="11">
        <v>233</v>
      </c>
      <c r="C146" s="11">
        <v>365</v>
      </c>
      <c r="D146" s="12"/>
      <c r="E146" s="13">
        <v>0.28</v>
      </c>
      <c r="F146" s="14">
        <f>+D146*E146/C146*B146</f>
        <v>0</v>
      </c>
      <c r="G146" s="12">
        <f>D146+F146</f>
        <v>0</v>
      </c>
    </row>
    <row r="147" spans="1:7" x14ac:dyDescent="0.25">
      <c r="A147" s="10">
        <v>46438</v>
      </c>
      <c r="B147" s="11">
        <v>232</v>
      </c>
      <c r="C147" s="11">
        <v>365</v>
      </c>
      <c r="D147" s="12"/>
      <c r="E147" s="13">
        <v>0.28</v>
      </c>
      <c r="F147" s="14">
        <f>+D147*E147/C147*B147</f>
        <v>0</v>
      </c>
      <c r="G147" s="12">
        <f>D147+F147</f>
        <v>0</v>
      </c>
    </row>
    <row r="148" spans="1:7" x14ac:dyDescent="0.25">
      <c r="A148" s="10">
        <v>46439</v>
      </c>
      <c r="B148" s="11">
        <v>231</v>
      </c>
      <c r="C148" s="11">
        <v>365</v>
      </c>
      <c r="D148" s="12"/>
      <c r="E148" s="13">
        <v>0.28</v>
      </c>
      <c r="F148" s="14">
        <f>+D148*E148/C148*B148</f>
        <v>0</v>
      </c>
      <c r="G148" s="12">
        <f>D148+F148</f>
        <v>0</v>
      </c>
    </row>
    <row r="149" spans="1:7" x14ac:dyDescent="0.25">
      <c r="A149" s="10">
        <v>46440</v>
      </c>
      <c r="B149" s="11">
        <v>230</v>
      </c>
      <c r="C149" s="11">
        <v>365</v>
      </c>
      <c r="D149" s="12"/>
      <c r="E149" s="13">
        <v>0.28</v>
      </c>
      <c r="F149" s="14">
        <f>+D149*E149/C149*B149</f>
        <v>0</v>
      </c>
      <c r="G149" s="12">
        <f>D149+F149</f>
        <v>0</v>
      </c>
    </row>
    <row r="150" spans="1:7" x14ac:dyDescent="0.25">
      <c r="A150" s="10">
        <v>46441</v>
      </c>
      <c r="B150" s="11">
        <v>229</v>
      </c>
      <c r="C150" s="11">
        <v>365</v>
      </c>
      <c r="D150" s="12"/>
      <c r="E150" s="13">
        <v>0.28</v>
      </c>
      <c r="F150" s="14">
        <f>+D150*E150/C150*B150</f>
        <v>0</v>
      </c>
      <c r="G150" s="12">
        <f>D150+F150</f>
        <v>0</v>
      </c>
    </row>
    <row r="151" spans="1:7" x14ac:dyDescent="0.25">
      <c r="A151" s="10">
        <v>46442</v>
      </c>
      <c r="B151" s="11">
        <v>228</v>
      </c>
      <c r="C151" s="11">
        <v>365</v>
      </c>
      <c r="D151" s="12"/>
      <c r="E151" s="13">
        <v>0.28</v>
      </c>
      <c r="F151" s="14">
        <f>+D151*E151/C151*B151</f>
        <v>0</v>
      </c>
      <c r="G151" s="12">
        <f>D151+F151</f>
        <v>0</v>
      </c>
    </row>
    <row r="152" spans="1:7" x14ac:dyDescent="0.25">
      <c r="A152" s="10">
        <v>46443</v>
      </c>
      <c r="B152" s="11">
        <v>227</v>
      </c>
      <c r="C152" s="11">
        <v>365</v>
      </c>
      <c r="D152" s="12"/>
      <c r="E152" s="13">
        <v>0.28</v>
      </c>
      <c r="F152" s="14">
        <f>+D152*E152/C152*B152</f>
        <v>0</v>
      </c>
      <c r="G152" s="12">
        <f>D152+F152</f>
        <v>0</v>
      </c>
    </row>
    <row r="153" spans="1:7" x14ac:dyDescent="0.25">
      <c r="A153" s="10">
        <v>46444</v>
      </c>
      <c r="B153" s="11">
        <v>226</v>
      </c>
      <c r="C153" s="11">
        <v>365</v>
      </c>
      <c r="D153" s="12"/>
      <c r="E153" s="13">
        <v>0.28</v>
      </c>
      <c r="F153" s="14">
        <f>+D153*E153/C153*B153</f>
        <v>0</v>
      </c>
      <c r="G153" s="12">
        <f>D153+F153</f>
        <v>0</v>
      </c>
    </row>
    <row r="154" spans="1:7" x14ac:dyDescent="0.25">
      <c r="A154" s="10">
        <v>46445</v>
      </c>
      <c r="B154" s="11">
        <v>225</v>
      </c>
      <c r="C154" s="11">
        <v>365</v>
      </c>
      <c r="D154" s="12"/>
      <c r="E154" s="13">
        <v>0.28</v>
      </c>
      <c r="F154" s="14">
        <f>+D154*E154/C154*B154</f>
        <v>0</v>
      </c>
      <c r="G154" s="12">
        <f>D154+F154</f>
        <v>0</v>
      </c>
    </row>
    <row r="155" spans="1:7" x14ac:dyDescent="0.25">
      <c r="A155" s="10">
        <v>46446</v>
      </c>
      <c r="B155" s="11">
        <v>224</v>
      </c>
      <c r="C155" s="11">
        <v>365</v>
      </c>
      <c r="D155" s="12"/>
      <c r="E155" s="13">
        <v>0.28</v>
      </c>
      <c r="F155" s="14">
        <f>+D155*E155/C155*B155</f>
        <v>0</v>
      </c>
      <c r="G155" s="12">
        <f>D155+F155</f>
        <v>0</v>
      </c>
    </row>
    <row r="156" spans="1:7" x14ac:dyDescent="0.25">
      <c r="A156" s="15" t="s">
        <v>23</v>
      </c>
      <c r="B156" s="15"/>
      <c r="C156" s="15" t="s">
        <v>18</v>
      </c>
      <c r="D156" s="16">
        <f>SUM(D128:D155)</f>
        <v>0</v>
      </c>
      <c r="E156" s="15" t="s">
        <v>19</v>
      </c>
      <c r="F156" s="17">
        <f>SUM(F128:F155)</f>
        <v>0</v>
      </c>
      <c r="G156" s="16">
        <f>SUM(G128:G155)</f>
        <v>0</v>
      </c>
    </row>
    <row r="157" spans="1:7" x14ac:dyDescent="0.25">
      <c r="A157" s="10">
        <v>46447</v>
      </c>
      <c r="B157" s="11">
        <v>223</v>
      </c>
      <c r="C157" s="11">
        <v>365</v>
      </c>
      <c r="D157" s="12"/>
      <c r="E157" s="13">
        <v>0.28</v>
      </c>
      <c r="F157" s="14">
        <f>+D157*E157/C157*B157</f>
        <v>0</v>
      </c>
      <c r="G157" s="12">
        <f>D157+F157</f>
        <v>0</v>
      </c>
    </row>
    <row r="158" spans="1:7" x14ac:dyDescent="0.25">
      <c r="A158" s="10">
        <v>46448</v>
      </c>
      <c r="B158" s="11">
        <v>222</v>
      </c>
      <c r="C158" s="11">
        <v>365</v>
      </c>
      <c r="D158" s="12"/>
      <c r="E158" s="13">
        <v>0.28</v>
      </c>
      <c r="F158" s="14">
        <f>+D158*E158/C158*B158</f>
        <v>0</v>
      </c>
      <c r="G158" s="12">
        <f>D158+F158</f>
        <v>0</v>
      </c>
    </row>
    <row r="159" spans="1:7" x14ac:dyDescent="0.25">
      <c r="A159" s="10">
        <v>46449</v>
      </c>
      <c r="B159" s="11">
        <v>221</v>
      </c>
      <c r="C159" s="11">
        <v>365</v>
      </c>
      <c r="D159" s="12"/>
      <c r="E159" s="13">
        <v>0.28</v>
      </c>
      <c r="F159" s="14">
        <f>+D159*E159/C159*B159</f>
        <v>0</v>
      </c>
      <c r="G159" s="12">
        <f>D159+F159</f>
        <v>0</v>
      </c>
    </row>
    <row r="160" spans="1:7" x14ac:dyDescent="0.25">
      <c r="A160" s="10">
        <v>46450</v>
      </c>
      <c r="B160" s="11">
        <v>220</v>
      </c>
      <c r="C160" s="11">
        <v>365</v>
      </c>
      <c r="D160" s="12"/>
      <c r="E160" s="13">
        <v>0.28</v>
      </c>
      <c r="F160" s="14">
        <f>+D160*E160/C160*B160</f>
        <v>0</v>
      </c>
      <c r="G160" s="12">
        <f>D160+F160</f>
        <v>0</v>
      </c>
    </row>
    <row r="161" spans="1:7" x14ac:dyDescent="0.25">
      <c r="A161" s="10">
        <v>46451</v>
      </c>
      <c r="B161" s="11">
        <v>219</v>
      </c>
      <c r="C161" s="11">
        <v>365</v>
      </c>
      <c r="D161" s="12"/>
      <c r="E161" s="13">
        <v>0.28</v>
      </c>
      <c r="F161" s="14">
        <f>+D161*E161/C161*B161</f>
        <v>0</v>
      </c>
      <c r="G161" s="12">
        <f>D161+F161</f>
        <v>0</v>
      </c>
    </row>
    <row r="162" spans="1:7" x14ac:dyDescent="0.25">
      <c r="A162" s="10">
        <v>46452</v>
      </c>
      <c r="B162" s="11">
        <v>218</v>
      </c>
      <c r="C162" s="11">
        <v>365</v>
      </c>
      <c r="D162" s="12"/>
      <c r="E162" s="13">
        <v>0.28</v>
      </c>
      <c r="F162" s="14">
        <f>+D162*E162/C162*B162</f>
        <v>0</v>
      </c>
      <c r="G162" s="12">
        <f>D162+F162</f>
        <v>0</v>
      </c>
    </row>
    <row r="163" spans="1:7" x14ac:dyDescent="0.25">
      <c r="A163" s="10">
        <v>46453</v>
      </c>
      <c r="B163" s="11">
        <v>217</v>
      </c>
      <c r="C163" s="11">
        <v>365</v>
      </c>
      <c r="D163" s="12"/>
      <c r="E163" s="13">
        <v>0.28</v>
      </c>
      <c r="F163" s="14">
        <f>+D163*E163/C163*B163</f>
        <v>0</v>
      </c>
      <c r="G163" s="12">
        <f>D163+F163</f>
        <v>0</v>
      </c>
    </row>
    <row r="164" spans="1:7" x14ac:dyDescent="0.25">
      <c r="A164" s="10">
        <v>46454</v>
      </c>
      <c r="B164" s="11">
        <v>216</v>
      </c>
      <c r="C164" s="11">
        <v>365</v>
      </c>
      <c r="D164" s="12"/>
      <c r="E164" s="13">
        <v>0.28</v>
      </c>
      <c r="F164" s="14">
        <f>+D164*E164/C164*B164</f>
        <v>0</v>
      </c>
      <c r="G164" s="12">
        <f>D164+F164</f>
        <v>0</v>
      </c>
    </row>
    <row r="165" spans="1:7" x14ac:dyDescent="0.25">
      <c r="A165" s="10">
        <v>46455</v>
      </c>
      <c r="B165" s="11">
        <v>215</v>
      </c>
      <c r="C165" s="11">
        <v>365</v>
      </c>
      <c r="D165" s="12"/>
      <c r="E165" s="13">
        <v>0.28</v>
      </c>
      <c r="F165" s="14">
        <f>+D165*E165/C165*B165</f>
        <v>0</v>
      </c>
      <c r="G165" s="12">
        <f>D165+F165</f>
        <v>0</v>
      </c>
    </row>
    <row r="166" spans="1:7" x14ac:dyDescent="0.25">
      <c r="A166" s="10">
        <v>46456</v>
      </c>
      <c r="B166" s="11">
        <v>214</v>
      </c>
      <c r="C166" s="11">
        <v>365</v>
      </c>
      <c r="D166" s="12"/>
      <c r="E166" s="13">
        <v>0.28</v>
      </c>
      <c r="F166" s="14">
        <f>+D166*E166/C166*B166</f>
        <v>0</v>
      </c>
      <c r="G166" s="12">
        <f>D166+F166</f>
        <v>0</v>
      </c>
    </row>
    <row r="167" spans="1:7" x14ac:dyDescent="0.25">
      <c r="A167" s="10">
        <v>46457</v>
      </c>
      <c r="B167" s="11">
        <v>213</v>
      </c>
      <c r="C167" s="11">
        <v>365</v>
      </c>
      <c r="D167" s="12"/>
      <c r="E167" s="13">
        <v>0.28</v>
      </c>
      <c r="F167" s="14">
        <f>+D167*E167/C167*B167</f>
        <v>0</v>
      </c>
      <c r="G167" s="12">
        <f>D167+F167</f>
        <v>0</v>
      </c>
    </row>
    <row r="168" spans="1:7" x14ac:dyDescent="0.25">
      <c r="A168" s="10">
        <v>46458</v>
      </c>
      <c r="B168" s="11">
        <v>212</v>
      </c>
      <c r="C168" s="11">
        <v>365</v>
      </c>
      <c r="D168" s="12"/>
      <c r="E168" s="13">
        <v>0.28</v>
      </c>
      <c r="F168" s="14">
        <f>+D168*E168/C168*B168</f>
        <v>0</v>
      </c>
      <c r="G168" s="12">
        <f>D168+F168</f>
        <v>0</v>
      </c>
    </row>
    <row r="169" spans="1:7" x14ac:dyDescent="0.25">
      <c r="A169" s="10">
        <v>46459</v>
      </c>
      <c r="B169" s="11">
        <v>211</v>
      </c>
      <c r="C169" s="11">
        <v>365</v>
      </c>
      <c r="D169" s="12"/>
      <c r="E169" s="13">
        <v>0.28</v>
      </c>
      <c r="F169" s="14">
        <f>+D169*E169/C169*B169</f>
        <v>0</v>
      </c>
      <c r="G169" s="12">
        <f>D169+F169</f>
        <v>0</v>
      </c>
    </row>
    <row r="170" spans="1:7" x14ac:dyDescent="0.25">
      <c r="A170" s="10">
        <v>46460</v>
      </c>
      <c r="B170" s="11">
        <v>210</v>
      </c>
      <c r="C170" s="11">
        <v>365</v>
      </c>
      <c r="D170" s="12"/>
      <c r="E170" s="13">
        <v>0.28</v>
      </c>
      <c r="F170" s="14">
        <f>+D170*E170/C170*B170</f>
        <v>0</v>
      </c>
      <c r="G170" s="12">
        <f>D170+F170</f>
        <v>0</v>
      </c>
    </row>
    <row r="171" spans="1:7" x14ac:dyDescent="0.25">
      <c r="A171" s="10">
        <v>46461</v>
      </c>
      <c r="B171" s="11">
        <v>209</v>
      </c>
      <c r="C171" s="11">
        <v>365</v>
      </c>
      <c r="D171" s="12"/>
      <c r="E171" s="13">
        <v>0.28</v>
      </c>
      <c r="F171" s="14">
        <f>+D171*E171/C171*B171</f>
        <v>0</v>
      </c>
      <c r="G171" s="12">
        <f>D171+F171</f>
        <v>0</v>
      </c>
    </row>
    <row r="172" spans="1:7" x14ac:dyDescent="0.25">
      <c r="A172" s="10">
        <v>46462</v>
      </c>
      <c r="B172" s="11">
        <v>208</v>
      </c>
      <c r="C172" s="11">
        <v>365</v>
      </c>
      <c r="D172" s="12"/>
      <c r="E172" s="13">
        <v>0.28</v>
      </c>
      <c r="F172" s="14">
        <f>+D172*E172/C172*B172</f>
        <v>0</v>
      </c>
      <c r="G172" s="12">
        <f>D172+F172</f>
        <v>0</v>
      </c>
    </row>
    <row r="173" spans="1:7" x14ac:dyDescent="0.25">
      <c r="A173" s="10">
        <v>46463</v>
      </c>
      <c r="B173" s="11">
        <v>207</v>
      </c>
      <c r="C173" s="11">
        <v>365</v>
      </c>
      <c r="D173" s="12"/>
      <c r="E173" s="13">
        <v>0.28</v>
      </c>
      <c r="F173" s="14">
        <f>+D173*E173/C173*B173</f>
        <v>0</v>
      </c>
      <c r="G173" s="12">
        <f>D173+F173</f>
        <v>0</v>
      </c>
    </row>
    <row r="174" spans="1:7" x14ac:dyDescent="0.25">
      <c r="A174" s="10">
        <v>46464</v>
      </c>
      <c r="B174" s="11">
        <v>206</v>
      </c>
      <c r="C174" s="11">
        <v>365</v>
      </c>
      <c r="D174" s="12"/>
      <c r="E174" s="13">
        <v>0.28</v>
      </c>
      <c r="F174" s="14">
        <f>+D174*E174/C174*B174</f>
        <v>0</v>
      </c>
      <c r="G174" s="12">
        <f>D174+F174</f>
        <v>0</v>
      </c>
    </row>
    <row r="175" spans="1:7" x14ac:dyDescent="0.25">
      <c r="A175" s="10">
        <v>46465</v>
      </c>
      <c r="B175" s="11">
        <v>205</v>
      </c>
      <c r="C175" s="11">
        <v>365</v>
      </c>
      <c r="D175" s="12"/>
      <c r="E175" s="13">
        <v>0.28</v>
      </c>
      <c r="F175" s="14">
        <f>+D175*E175/C175*B175</f>
        <v>0</v>
      </c>
      <c r="G175" s="12">
        <f>D175+F175</f>
        <v>0</v>
      </c>
    </row>
    <row r="176" spans="1:7" x14ac:dyDescent="0.25">
      <c r="A176" s="10">
        <v>46466</v>
      </c>
      <c r="B176" s="11">
        <v>204</v>
      </c>
      <c r="C176" s="11">
        <v>365</v>
      </c>
      <c r="D176" s="12"/>
      <c r="E176" s="13">
        <v>0.28</v>
      </c>
      <c r="F176" s="14">
        <f>+D176*E176/C176*B176</f>
        <v>0</v>
      </c>
      <c r="G176" s="12">
        <f>D176+F176</f>
        <v>0</v>
      </c>
    </row>
    <row r="177" spans="1:7" x14ac:dyDescent="0.25">
      <c r="A177" s="10">
        <v>46467</v>
      </c>
      <c r="B177" s="11">
        <v>203</v>
      </c>
      <c r="C177" s="11">
        <v>365</v>
      </c>
      <c r="D177" s="12"/>
      <c r="E177" s="13">
        <v>0.28</v>
      </c>
      <c r="F177" s="14">
        <f>+D177*E177/C177*B177</f>
        <v>0</v>
      </c>
      <c r="G177" s="12">
        <f>D177+F177</f>
        <v>0</v>
      </c>
    </row>
    <row r="178" spans="1:7" x14ac:dyDescent="0.25">
      <c r="A178" s="10">
        <v>46468</v>
      </c>
      <c r="B178" s="11">
        <v>202</v>
      </c>
      <c r="C178" s="11">
        <v>365</v>
      </c>
      <c r="D178" s="12"/>
      <c r="E178" s="13">
        <v>0.28</v>
      </c>
      <c r="F178" s="14">
        <f>+D178*E178/C178*B178</f>
        <v>0</v>
      </c>
      <c r="G178" s="12">
        <f>D178+F178</f>
        <v>0</v>
      </c>
    </row>
    <row r="179" spans="1:7" x14ac:dyDescent="0.25">
      <c r="A179" s="10">
        <v>46469</v>
      </c>
      <c r="B179" s="11">
        <v>201</v>
      </c>
      <c r="C179" s="11">
        <v>365</v>
      </c>
      <c r="D179" s="12"/>
      <c r="E179" s="13">
        <v>0.28</v>
      </c>
      <c r="F179" s="14">
        <f>+D179*E179/C179*B179</f>
        <v>0</v>
      </c>
      <c r="G179" s="12">
        <f>D179+F179</f>
        <v>0</v>
      </c>
    </row>
    <row r="180" spans="1:7" x14ac:dyDescent="0.25">
      <c r="A180" s="10">
        <v>46470</v>
      </c>
      <c r="B180" s="11">
        <v>200</v>
      </c>
      <c r="C180" s="11">
        <v>365</v>
      </c>
      <c r="D180" s="12"/>
      <c r="E180" s="13">
        <v>0.28</v>
      </c>
      <c r="F180" s="14">
        <f>+D180*E180/C180*B180</f>
        <v>0</v>
      </c>
      <c r="G180" s="12">
        <f>D180+F180</f>
        <v>0</v>
      </c>
    </row>
    <row r="181" spans="1:7" x14ac:dyDescent="0.25">
      <c r="A181" s="10">
        <v>46471</v>
      </c>
      <c r="B181" s="11">
        <v>199</v>
      </c>
      <c r="C181" s="11">
        <v>365</v>
      </c>
      <c r="D181" s="12"/>
      <c r="E181" s="13">
        <v>0.28</v>
      </c>
      <c r="F181" s="14">
        <f>+D181*E181/C181*B181</f>
        <v>0</v>
      </c>
      <c r="G181" s="12">
        <f>D181+F181</f>
        <v>0</v>
      </c>
    </row>
    <row r="182" spans="1:7" x14ac:dyDescent="0.25">
      <c r="A182" s="10">
        <v>46472</v>
      </c>
      <c r="B182" s="11">
        <v>198</v>
      </c>
      <c r="C182" s="11">
        <v>365</v>
      </c>
      <c r="D182" s="12"/>
      <c r="E182" s="13">
        <v>0.28</v>
      </c>
      <c r="F182" s="14">
        <f>+D182*E182/C182*B182</f>
        <v>0</v>
      </c>
      <c r="G182" s="12">
        <f>D182+F182</f>
        <v>0</v>
      </c>
    </row>
    <row r="183" spans="1:7" x14ac:dyDescent="0.25">
      <c r="A183" s="10">
        <v>46473</v>
      </c>
      <c r="B183" s="11">
        <v>197</v>
      </c>
      <c r="C183" s="11">
        <v>365</v>
      </c>
      <c r="D183" s="12"/>
      <c r="E183" s="13">
        <v>0.28</v>
      </c>
      <c r="F183" s="14">
        <f>+D183*E183/C183*B183</f>
        <v>0</v>
      </c>
      <c r="G183" s="12">
        <f>D183+F183</f>
        <v>0</v>
      </c>
    </row>
    <row r="184" spans="1:7" x14ac:dyDescent="0.25">
      <c r="A184" s="10">
        <v>46474</v>
      </c>
      <c r="B184" s="11">
        <v>196</v>
      </c>
      <c r="C184" s="11">
        <v>365</v>
      </c>
      <c r="D184" s="12"/>
      <c r="E184" s="13">
        <v>0.28</v>
      </c>
      <c r="F184" s="14">
        <f>+D184*E184/C184*B184</f>
        <v>0</v>
      </c>
      <c r="G184" s="12">
        <f>D184+F184</f>
        <v>0</v>
      </c>
    </row>
    <row r="185" spans="1:7" x14ac:dyDescent="0.25">
      <c r="A185" s="10">
        <v>46475</v>
      </c>
      <c r="B185" s="11">
        <v>195</v>
      </c>
      <c r="C185" s="11">
        <v>365</v>
      </c>
      <c r="D185" s="12"/>
      <c r="E185" s="13">
        <v>0.28</v>
      </c>
      <c r="F185" s="14">
        <f>+D185*E185/C185*B185</f>
        <v>0</v>
      </c>
      <c r="G185" s="12">
        <f>D185+F185</f>
        <v>0</v>
      </c>
    </row>
    <row r="186" spans="1:7" x14ac:dyDescent="0.25">
      <c r="A186" s="10">
        <v>46476</v>
      </c>
      <c r="B186" s="11">
        <v>194</v>
      </c>
      <c r="C186" s="11">
        <v>365</v>
      </c>
      <c r="D186" s="12"/>
      <c r="E186" s="13">
        <v>0.28</v>
      </c>
      <c r="F186" s="14">
        <f>+D186*E186/C186*B186</f>
        <v>0</v>
      </c>
      <c r="G186" s="12">
        <f>D186+F186</f>
        <v>0</v>
      </c>
    </row>
    <row r="187" spans="1:7" x14ac:dyDescent="0.25">
      <c r="A187" s="10">
        <v>46477</v>
      </c>
      <c r="B187" s="11">
        <v>193</v>
      </c>
      <c r="C187" s="11">
        <v>365</v>
      </c>
      <c r="D187" s="12"/>
      <c r="E187" s="13">
        <v>0.28</v>
      </c>
      <c r="F187" s="14">
        <f>+D187*E187/C187*B187</f>
        <v>0</v>
      </c>
      <c r="G187" s="12">
        <f>D187+F187</f>
        <v>0</v>
      </c>
    </row>
    <row r="188" spans="1:7" x14ac:dyDescent="0.25">
      <c r="A188" s="15" t="s">
        <v>24</v>
      </c>
      <c r="B188" s="15"/>
      <c r="C188" s="15" t="s">
        <v>18</v>
      </c>
      <c r="D188" s="16">
        <f>SUM(D157:D187)</f>
        <v>0</v>
      </c>
      <c r="E188" s="15" t="s">
        <v>19</v>
      </c>
      <c r="F188" s="17">
        <f>SUM(F157:F187)</f>
        <v>0</v>
      </c>
      <c r="G188" s="16">
        <f>SUM(G157:G187)</f>
        <v>0</v>
      </c>
    </row>
    <row r="189" spans="1:7" x14ac:dyDescent="0.25">
      <c r="A189" s="10">
        <v>46478</v>
      </c>
      <c r="B189" s="11">
        <v>192</v>
      </c>
      <c r="C189" s="11">
        <v>365</v>
      </c>
      <c r="D189" s="12"/>
      <c r="E189" s="13">
        <v>0.28</v>
      </c>
      <c r="F189" s="14">
        <f>+D189*E189/C189*B189</f>
        <v>0</v>
      </c>
      <c r="G189" s="12">
        <f>D189+F189</f>
        <v>0</v>
      </c>
    </row>
    <row r="190" spans="1:7" x14ac:dyDescent="0.25">
      <c r="A190" s="10">
        <v>46479</v>
      </c>
      <c r="B190" s="11">
        <v>191</v>
      </c>
      <c r="C190" s="11">
        <v>365</v>
      </c>
      <c r="D190" s="12"/>
      <c r="E190" s="13">
        <v>0.28</v>
      </c>
      <c r="F190" s="14">
        <f>+D190*E190/C190*B190</f>
        <v>0</v>
      </c>
      <c r="G190" s="12">
        <f>D190+F190</f>
        <v>0</v>
      </c>
    </row>
    <row r="191" spans="1:7" x14ac:dyDescent="0.25">
      <c r="A191" s="10">
        <v>46480</v>
      </c>
      <c r="B191" s="11">
        <v>190</v>
      </c>
      <c r="C191" s="11">
        <v>365</v>
      </c>
      <c r="D191" s="12"/>
      <c r="E191" s="13">
        <v>0.28</v>
      </c>
      <c r="F191" s="14">
        <f>+D191*E191/C191*B191</f>
        <v>0</v>
      </c>
      <c r="G191" s="12">
        <f>D191+F191</f>
        <v>0</v>
      </c>
    </row>
    <row r="192" spans="1:7" x14ac:dyDescent="0.25">
      <c r="A192" s="10">
        <v>46481</v>
      </c>
      <c r="B192" s="11">
        <v>189</v>
      </c>
      <c r="C192" s="11">
        <v>365</v>
      </c>
      <c r="D192" s="12"/>
      <c r="E192" s="13">
        <v>0.28</v>
      </c>
      <c r="F192" s="14">
        <f>+D192*E192/C192*B192</f>
        <v>0</v>
      </c>
      <c r="G192" s="12">
        <f>D192+F192</f>
        <v>0</v>
      </c>
    </row>
    <row r="193" spans="1:7" x14ac:dyDescent="0.25">
      <c r="A193" s="10">
        <v>46482</v>
      </c>
      <c r="B193" s="11">
        <v>188</v>
      </c>
      <c r="C193" s="11">
        <v>365</v>
      </c>
      <c r="D193" s="12"/>
      <c r="E193" s="13">
        <v>0.28</v>
      </c>
      <c r="F193" s="14">
        <f>+D193*E193/C193*B193</f>
        <v>0</v>
      </c>
      <c r="G193" s="12">
        <f>D193+F193</f>
        <v>0</v>
      </c>
    </row>
    <row r="194" spans="1:7" x14ac:dyDescent="0.25">
      <c r="A194" s="10">
        <v>46483</v>
      </c>
      <c r="B194" s="11">
        <v>187</v>
      </c>
      <c r="C194" s="11">
        <v>365</v>
      </c>
      <c r="D194" s="12"/>
      <c r="E194" s="13">
        <v>0.28</v>
      </c>
      <c r="F194" s="14">
        <f>+D194*E194/C194*B194</f>
        <v>0</v>
      </c>
      <c r="G194" s="12">
        <f>D194+F194</f>
        <v>0</v>
      </c>
    </row>
    <row r="195" spans="1:7" x14ac:dyDescent="0.25">
      <c r="A195" s="10">
        <v>46484</v>
      </c>
      <c r="B195" s="11">
        <v>186</v>
      </c>
      <c r="C195" s="11">
        <v>365</v>
      </c>
      <c r="D195" s="12"/>
      <c r="E195" s="13">
        <v>0.28</v>
      </c>
      <c r="F195" s="14">
        <f>+D195*E195/C195*B195</f>
        <v>0</v>
      </c>
      <c r="G195" s="12">
        <f>D195+F195</f>
        <v>0</v>
      </c>
    </row>
    <row r="196" spans="1:7" x14ac:dyDescent="0.25">
      <c r="A196" s="10">
        <v>46485</v>
      </c>
      <c r="B196" s="11">
        <v>185</v>
      </c>
      <c r="C196" s="11">
        <v>365</v>
      </c>
      <c r="D196" s="12"/>
      <c r="E196" s="13">
        <v>0.28</v>
      </c>
      <c r="F196" s="14">
        <f>+D196*E196/C196*B196</f>
        <v>0</v>
      </c>
      <c r="G196" s="12">
        <f>D196+F196</f>
        <v>0</v>
      </c>
    </row>
    <row r="197" spans="1:7" x14ac:dyDescent="0.25">
      <c r="A197" s="10">
        <v>46486</v>
      </c>
      <c r="B197" s="11">
        <v>184</v>
      </c>
      <c r="C197" s="11">
        <v>365</v>
      </c>
      <c r="D197" s="12"/>
      <c r="E197" s="13">
        <v>0.28</v>
      </c>
      <c r="F197" s="14">
        <f>+D197*E197/C197*B197</f>
        <v>0</v>
      </c>
      <c r="G197" s="12">
        <f>D197+F197</f>
        <v>0</v>
      </c>
    </row>
    <row r="198" spans="1:7" x14ac:dyDescent="0.25">
      <c r="A198" s="10">
        <v>46487</v>
      </c>
      <c r="B198" s="11">
        <v>183</v>
      </c>
      <c r="C198" s="11">
        <v>365</v>
      </c>
      <c r="D198" s="12"/>
      <c r="E198" s="13">
        <v>0.28</v>
      </c>
      <c r="F198" s="14">
        <f>+D198*E198/C198*B198</f>
        <v>0</v>
      </c>
      <c r="G198" s="12">
        <f>D198+F198</f>
        <v>0</v>
      </c>
    </row>
    <row r="199" spans="1:7" x14ac:dyDescent="0.25">
      <c r="A199" s="10">
        <v>46488</v>
      </c>
      <c r="B199" s="11">
        <v>182</v>
      </c>
      <c r="C199" s="11">
        <v>365</v>
      </c>
      <c r="D199" s="12"/>
      <c r="E199" s="13">
        <v>0.28</v>
      </c>
      <c r="F199" s="14">
        <f>+D199*E199/C199*B199</f>
        <v>0</v>
      </c>
      <c r="G199" s="12">
        <f>D199+F199</f>
        <v>0</v>
      </c>
    </row>
    <row r="200" spans="1:7" x14ac:dyDescent="0.25">
      <c r="A200" s="10">
        <v>46489</v>
      </c>
      <c r="B200" s="11">
        <v>181</v>
      </c>
      <c r="C200" s="11">
        <v>365</v>
      </c>
      <c r="D200" s="12"/>
      <c r="E200" s="13">
        <v>0.28</v>
      </c>
      <c r="F200" s="14">
        <f>+D200*E200/C200*B200</f>
        <v>0</v>
      </c>
      <c r="G200" s="12">
        <f>D200+F200</f>
        <v>0</v>
      </c>
    </row>
    <row r="201" spans="1:7" x14ac:dyDescent="0.25">
      <c r="A201" s="10">
        <v>46490</v>
      </c>
      <c r="B201" s="11">
        <v>180</v>
      </c>
      <c r="C201" s="11">
        <v>365</v>
      </c>
      <c r="D201" s="12"/>
      <c r="E201" s="13">
        <v>0.28</v>
      </c>
      <c r="F201" s="14">
        <f>+D201*E201/C201*B201</f>
        <v>0</v>
      </c>
      <c r="G201" s="12">
        <f>D201+F201</f>
        <v>0</v>
      </c>
    </row>
    <row r="202" spans="1:7" x14ac:dyDescent="0.25">
      <c r="A202" s="10">
        <v>46491</v>
      </c>
      <c r="B202" s="11">
        <v>179</v>
      </c>
      <c r="C202" s="11">
        <v>365</v>
      </c>
      <c r="D202" s="12"/>
      <c r="E202" s="13">
        <v>0.28</v>
      </c>
      <c r="F202" s="14">
        <f>+D202*E202/C202*B202</f>
        <v>0</v>
      </c>
      <c r="G202" s="12">
        <f>D202+F202</f>
        <v>0</v>
      </c>
    </row>
    <row r="203" spans="1:7" x14ac:dyDescent="0.25">
      <c r="A203" s="10">
        <v>46492</v>
      </c>
      <c r="B203" s="11">
        <v>178</v>
      </c>
      <c r="C203" s="11">
        <v>365</v>
      </c>
      <c r="D203" s="12"/>
      <c r="E203" s="13">
        <v>0.28</v>
      </c>
      <c r="F203" s="14">
        <f>+D203*E203/C203*B203</f>
        <v>0</v>
      </c>
      <c r="G203" s="12">
        <f>D203+F203</f>
        <v>0</v>
      </c>
    </row>
    <row r="204" spans="1:7" x14ac:dyDescent="0.25">
      <c r="A204" s="10">
        <v>46493</v>
      </c>
      <c r="B204" s="11">
        <v>177</v>
      </c>
      <c r="C204" s="11">
        <v>365</v>
      </c>
      <c r="D204" s="12"/>
      <c r="E204" s="13">
        <v>0.28</v>
      </c>
      <c r="F204" s="14">
        <f>+D204*E204/C204*B204</f>
        <v>0</v>
      </c>
      <c r="G204" s="12">
        <f>D204+F204</f>
        <v>0</v>
      </c>
    </row>
    <row r="205" spans="1:7" x14ac:dyDescent="0.25">
      <c r="A205" s="10">
        <v>46494</v>
      </c>
      <c r="B205" s="11">
        <v>176</v>
      </c>
      <c r="C205" s="11">
        <v>365</v>
      </c>
      <c r="D205" s="12"/>
      <c r="E205" s="13">
        <v>0.28</v>
      </c>
      <c r="F205" s="14">
        <f>+D205*E205/C205*B205</f>
        <v>0</v>
      </c>
      <c r="G205" s="12">
        <f>D205+F205</f>
        <v>0</v>
      </c>
    </row>
    <row r="206" spans="1:7" x14ac:dyDescent="0.25">
      <c r="A206" s="10">
        <v>46495</v>
      </c>
      <c r="B206" s="11">
        <v>175</v>
      </c>
      <c r="C206" s="11">
        <v>365</v>
      </c>
      <c r="D206" s="12"/>
      <c r="E206" s="13">
        <v>0.28</v>
      </c>
      <c r="F206" s="14">
        <f>+D206*E206/C206*B206</f>
        <v>0</v>
      </c>
      <c r="G206" s="12">
        <f>D206+F206</f>
        <v>0</v>
      </c>
    </row>
    <row r="207" spans="1:7" x14ac:dyDescent="0.25">
      <c r="A207" s="10">
        <v>46496</v>
      </c>
      <c r="B207" s="11">
        <v>174</v>
      </c>
      <c r="C207" s="11">
        <v>365</v>
      </c>
      <c r="D207" s="12"/>
      <c r="E207" s="13">
        <v>0.28</v>
      </c>
      <c r="F207" s="14">
        <f>+D207*E207/C207*B207</f>
        <v>0</v>
      </c>
      <c r="G207" s="12">
        <f>D207+F207</f>
        <v>0</v>
      </c>
    </row>
    <row r="208" spans="1:7" x14ac:dyDescent="0.25">
      <c r="A208" s="10">
        <v>46497</v>
      </c>
      <c r="B208" s="11">
        <v>173</v>
      </c>
      <c r="C208" s="11">
        <v>365</v>
      </c>
      <c r="D208" s="12"/>
      <c r="E208" s="13">
        <v>0.28</v>
      </c>
      <c r="F208" s="14">
        <f>+D208*E208/C208*B208</f>
        <v>0</v>
      </c>
      <c r="G208" s="12">
        <f>D208+F208</f>
        <v>0</v>
      </c>
    </row>
    <row r="209" spans="1:7" x14ac:dyDescent="0.25">
      <c r="A209" s="10">
        <v>46498</v>
      </c>
      <c r="B209" s="11">
        <v>172</v>
      </c>
      <c r="C209" s="11">
        <v>365</v>
      </c>
      <c r="D209" s="12"/>
      <c r="E209" s="13">
        <v>0.28</v>
      </c>
      <c r="F209" s="14">
        <f>+D209*E209/C209*B209</f>
        <v>0</v>
      </c>
      <c r="G209" s="12">
        <f>D209+F209</f>
        <v>0</v>
      </c>
    </row>
    <row r="210" spans="1:7" x14ac:dyDescent="0.25">
      <c r="A210" s="10">
        <v>46499</v>
      </c>
      <c r="B210" s="11">
        <v>171</v>
      </c>
      <c r="C210" s="11">
        <v>365</v>
      </c>
      <c r="D210" s="12"/>
      <c r="E210" s="13">
        <v>0.28</v>
      </c>
      <c r="F210" s="14">
        <f>+D210*E210/C210*B210</f>
        <v>0</v>
      </c>
      <c r="G210" s="12">
        <f>D210+F210</f>
        <v>0</v>
      </c>
    </row>
    <row r="211" spans="1:7" x14ac:dyDescent="0.25">
      <c r="A211" s="10">
        <v>46500</v>
      </c>
      <c r="B211" s="11">
        <v>170</v>
      </c>
      <c r="C211" s="11">
        <v>365</v>
      </c>
      <c r="D211" s="12"/>
      <c r="E211" s="13">
        <v>0.28</v>
      </c>
      <c r="F211" s="14">
        <f>+D211*E211/C211*B211</f>
        <v>0</v>
      </c>
      <c r="G211" s="12">
        <f>D211+F211</f>
        <v>0</v>
      </c>
    </row>
    <row r="212" spans="1:7" x14ac:dyDescent="0.25">
      <c r="A212" s="10">
        <v>46501</v>
      </c>
      <c r="B212" s="11">
        <v>169</v>
      </c>
      <c r="C212" s="11">
        <v>365</v>
      </c>
      <c r="D212" s="12"/>
      <c r="E212" s="13">
        <v>0.28</v>
      </c>
      <c r="F212" s="14">
        <f>+D212*E212/C212*B212</f>
        <v>0</v>
      </c>
      <c r="G212" s="12">
        <f>D212+F212</f>
        <v>0</v>
      </c>
    </row>
    <row r="213" spans="1:7" x14ac:dyDescent="0.25">
      <c r="A213" s="10">
        <v>46502</v>
      </c>
      <c r="B213" s="11">
        <v>168</v>
      </c>
      <c r="C213" s="11">
        <v>365</v>
      </c>
      <c r="D213" s="12"/>
      <c r="E213" s="13">
        <v>0.28</v>
      </c>
      <c r="F213" s="14">
        <f>+D213*E213/C213*B213</f>
        <v>0</v>
      </c>
      <c r="G213" s="12">
        <f>D213+F213</f>
        <v>0</v>
      </c>
    </row>
    <row r="214" spans="1:7" x14ac:dyDescent="0.25">
      <c r="A214" s="10">
        <v>46503</v>
      </c>
      <c r="B214" s="11">
        <v>167</v>
      </c>
      <c r="C214" s="11">
        <v>365</v>
      </c>
      <c r="D214" s="12"/>
      <c r="E214" s="13">
        <v>0.28</v>
      </c>
      <c r="F214" s="14">
        <f>+D214*E214/C214*B214</f>
        <v>0</v>
      </c>
      <c r="G214" s="12">
        <f>D214+F214</f>
        <v>0</v>
      </c>
    </row>
    <row r="215" spans="1:7" x14ac:dyDescent="0.25">
      <c r="A215" s="10">
        <v>46504</v>
      </c>
      <c r="B215" s="11">
        <v>166</v>
      </c>
      <c r="C215" s="11">
        <v>365</v>
      </c>
      <c r="D215" s="12"/>
      <c r="E215" s="13">
        <v>0.28</v>
      </c>
      <c r="F215" s="14">
        <f>+D215*E215/C215*B215</f>
        <v>0</v>
      </c>
      <c r="G215" s="12">
        <f>D215+F215</f>
        <v>0</v>
      </c>
    </row>
    <row r="216" spans="1:7" x14ac:dyDescent="0.25">
      <c r="A216" s="10">
        <v>46505</v>
      </c>
      <c r="B216" s="11">
        <v>165</v>
      </c>
      <c r="C216" s="11">
        <v>365</v>
      </c>
      <c r="D216" s="12"/>
      <c r="E216" s="13">
        <v>0.28</v>
      </c>
      <c r="F216" s="14">
        <f>+D216*E216/C216*B216</f>
        <v>0</v>
      </c>
      <c r="G216" s="12">
        <f>D216+F216</f>
        <v>0</v>
      </c>
    </row>
    <row r="217" spans="1:7" x14ac:dyDescent="0.25">
      <c r="A217" s="10">
        <v>46506</v>
      </c>
      <c r="B217" s="11">
        <v>164</v>
      </c>
      <c r="C217" s="11">
        <v>365</v>
      </c>
      <c r="D217" s="12"/>
      <c r="E217" s="13">
        <v>0.28</v>
      </c>
      <c r="F217" s="14">
        <f>+D217*E217/C217*B217</f>
        <v>0</v>
      </c>
      <c r="G217" s="12">
        <f>D217+F217</f>
        <v>0</v>
      </c>
    </row>
    <row r="218" spans="1:7" x14ac:dyDescent="0.25">
      <c r="A218" s="10">
        <v>46507</v>
      </c>
      <c r="B218" s="11">
        <v>163</v>
      </c>
      <c r="C218" s="11">
        <v>365</v>
      </c>
      <c r="D218" s="12"/>
      <c r="E218" s="13">
        <v>0.28</v>
      </c>
      <c r="F218" s="14">
        <f>+D218*E218/C218*B218</f>
        <v>0</v>
      </c>
      <c r="G218" s="12">
        <f>D218+F218</f>
        <v>0</v>
      </c>
    </row>
    <row r="219" spans="1:7" x14ac:dyDescent="0.25">
      <c r="A219" s="15" t="s">
        <v>25</v>
      </c>
      <c r="B219" s="15"/>
      <c r="C219" s="15" t="s">
        <v>18</v>
      </c>
      <c r="D219" s="16">
        <f>SUM(D189:D218)</f>
        <v>0</v>
      </c>
      <c r="E219" s="15" t="s">
        <v>19</v>
      </c>
      <c r="F219" s="17">
        <f>SUM(F189:F218)</f>
        <v>0</v>
      </c>
      <c r="G219" s="16">
        <f>SUM(G189:G218)</f>
        <v>0</v>
      </c>
    </row>
    <row r="220" spans="1:7" x14ac:dyDescent="0.25">
      <c r="A220" s="10">
        <v>46508</v>
      </c>
      <c r="B220" s="11">
        <v>162</v>
      </c>
      <c r="C220" s="11">
        <v>365</v>
      </c>
      <c r="D220" s="12"/>
      <c r="E220" s="13">
        <v>0.28</v>
      </c>
      <c r="F220" s="14">
        <f>+D220*E220/C220*B220</f>
        <v>0</v>
      </c>
      <c r="G220" s="12">
        <f>D220+F220</f>
        <v>0</v>
      </c>
    </row>
    <row r="221" spans="1:7" x14ac:dyDescent="0.25">
      <c r="A221" s="10">
        <v>46509</v>
      </c>
      <c r="B221" s="11">
        <v>161</v>
      </c>
      <c r="C221" s="11">
        <v>365</v>
      </c>
      <c r="D221" s="12"/>
      <c r="E221" s="13">
        <v>0.28</v>
      </c>
      <c r="F221" s="14">
        <f>+D221*E221/C221*B221</f>
        <v>0</v>
      </c>
      <c r="G221" s="12">
        <f>D221+F221</f>
        <v>0</v>
      </c>
    </row>
    <row r="222" spans="1:7" x14ac:dyDescent="0.25">
      <c r="A222" s="10">
        <v>46510</v>
      </c>
      <c r="B222" s="11">
        <v>160</v>
      </c>
      <c r="C222" s="11">
        <v>365</v>
      </c>
      <c r="D222" s="12"/>
      <c r="E222" s="13">
        <v>0.28</v>
      </c>
      <c r="F222" s="14">
        <f>+D222*E222/C222*B222</f>
        <v>0</v>
      </c>
      <c r="G222" s="12">
        <f>D222+F222</f>
        <v>0</v>
      </c>
    </row>
    <row r="223" spans="1:7" x14ac:dyDescent="0.25">
      <c r="A223" s="10">
        <v>46511</v>
      </c>
      <c r="B223" s="11">
        <v>159</v>
      </c>
      <c r="C223" s="11">
        <v>365</v>
      </c>
      <c r="D223" s="12"/>
      <c r="E223" s="13">
        <v>0.28</v>
      </c>
      <c r="F223" s="14">
        <f>+D223*E223/C223*B223</f>
        <v>0</v>
      </c>
      <c r="G223" s="12">
        <f>D223+F223</f>
        <v>0</v>
      </c>
    </row>
    <row r="224" spans="1:7" x14ac:dyDescent="0.25">
      <c r="A224" s="10">
        <v>46512</v>
      </c>
      <c r="B224" s="11">
        <v>158</v>
      </c>
      <c r="C224" s="11">
        <v>365</v>
      </c>
      <c r="D224" s="12"/>
      <c r="E224" s="13">
        <v>0.28</v>
      </c>
      <c r="F224" s="14">
        <f>+D224*E224/C224*B224</f>
        <v>0</v>
      </c>
      <c r="G224" s="12">
        <f>D224+F224</f>
        <v>0</v>
      </c>
    </row>
    <row r="225" spans="1:7" x14ac:dyDescent="0.25">
      <c r="A225" s="10">
        <v>46513</v>
      </c>
      <c r="B225" s="11">
        <v>157</v>
      </c>
      <c r="C225" s="11">
        <v>365</v>
      </c>
      <c r="D225" s="12"/>
      <c r="E225" s="13">
        <v>0.28</v>
      </c>
      <c r="F225" s="14">
        <f>+D225*E225/C225*B225</f>
        <v>0</v>
      </c>
      <c r="G225" s="12">
        <f>D225+F225</f>
        <v>0</v>
      </c>
    </row>
    <row r="226" spans="1:7" x14ac:dyDescent="0.25">
      <c r="A226" s="10">
        <v>46514</v>
      </c>
      <c r="B226" s="11">
        <v>156</v>
      </c>
      <c r="C226" s="11">
        <v>365</v>
      </c>
      <c r="D226" s="12"/>
      <c r="E226" s="13">
        <v>0.28</v>
      </c>
      <c r="F226" s="14">
        <f>+D226*E226/C226*B226</f>
        <v>0</v>
      </c>
      <c r="G226" s="12">
        <f>D226+F226</f>
        <v>0</v>
      </c>
    </row>
    <row r="227" spans="1:7" x14ac:dyDescent="0.25">
      <c r="A227" s="10">
        <v>46515</v>
      </c>
      <c r="B227" s="11">
        <v>155</v>
      </c>
      <c r="C227" s="11">
        <v>365</v>
      </c>
      <c r="D227" s="12"/>
      <c r="E227" s="13">
        <v>0.28</v>
      </c>
      <c r="F227" s="14">
        <f>+D227*E227/C227*B227</f>
        <v>0</v>
      </c>
      <c r="G227" s="12">
        <f>D227+F227</f>
        <v>0</v>
      </c>
    </row>
    <row r="228" spans="1:7" x14ac:dyDescent="0.25">
      <c r="A228" s="10">
        <v>46516</v>
      </c>
      <c r="B228" s="11">
        <v>154</v>
      </c>
      <c r="C228" s="11">
        <v>365</v>
      </c>
      <c r="D228" s="12"/>
      <c r="E228" s="13">
        <v>0.28</v>
      </c>
      <c r="F228" s="14">
        <f>+D228*E228/C228*B228</f>
        <v>0</v>
      </c>
      <c r="G228" s="12">
        <f>D228+F228</f>
        <v>0</v>
      </c>
    </row>
    <row r="229" spans="1:7" x14ac:dyDescent="0.25">
      <c r="A229" s="10">
        <v>46517</v>
      </c>
      <c r="B229" s="11">
        <v>153</v>
      </c>
      <c r="C229" s="11">
        <v>365</v>
      </c>
      <c r="D229" s="12"/>
      <c r="E229" s="13">
        <v>0.28</v>
      </c>
      <c r="F229" s="14">
        <f>+D229*E229/C229*B229</f>
        <v>0</v>
      </c>
      <c r="G229" s="12">
        <f>D229+F229</f>
        <v>0</v>
      </c>
    </row>
    <row r="230" spans="1:7" x14ac:dyDescent="0.25">
      <c r="A230" s="10">
        <v>46518</v>
      </c>
      <c r="B230" s="11">
        <v>152</v>
      </c>
      <c r="C230" s="11">
        <v>365</v>
      </c>
      <c r="D230" s="12"/>
      <c r="E230" s="13">
        <v>0.28</v>
      </c>
      <c r="F230" s="14">
        <f>+D230*E230/C230*B230</f>
        <v>0</v>
      </c>
      <c r="G230" s="12">
        <f>D230+F230</f>
        <v>0</v>
      </c>
    </row>
    <row r="231" spans="1:7" x14ac:dyDescent="0.25">
      <c r="A231" s="10">
        <v>46519</v>
      </c>
      <c r="B231" s="11">
        <v>151</v>
      </c>
      <c r="C231" s="11">
        <v>365</v>
      </c>
      <c r="D231" s="12"/>
      <c r="E231" s="13">
        <v>0.28</v>
      </c>
      <c r="F231" s="14">
        <f>+D231*E231/C231*B231</f>
        <v>0</v>
      </c>
      <c r="G231" s="12">
        <f>D231+F231</f>
        <v>0</v>
      </c>
    </row>
    <row r="232" spans="1:7" x14ac:dyDescent="0.25">
      <c r="A232" s="10">
        <v>46520</v>
      </c>
      <c r="B232" s="11">
        <v>150</v>
      </c>
      <c r="C232" s="11">
        <v>365</v>
      </c>
      <c r="D232" s="12"/>
      <c r="E232" s="13">
        <v>0.28</v>
      </c>
      <c r="F232" s="14">
        <f>+D232*E232/C232*B232</f>
        <v>0</v>
      </c>
      <c r="G232" s="12">
        <f>D232+F232</f>
        <v>0</v>
      </c>
    </row>
    <row r="233" spans="1:7" x14ac:dyDescent="0.25">
      <c r="A233" s="10">
        <v>46521</v>
      </c>
      <c r="B233" s="11">
        <v>149</v>
      </c>
      <c r="C233" s="11">
        <v>365</v>
      </c>
      <c r="D233" s="12"/>
      <c r="E233" s="13">
        <v>0.28</v>
      </c>
      <c r="F233" s="14">
        <f>+D233*E233/C233*B233</f>
        <v>0</v>
      </c>
      <c r="G233" s="12">
        <f>D233+F233</f>
        <v>0</v>
      </c>
    </row>
    <row r="234" spans="1:7" x14ac:dyDescent="0.25">
      <c r="A234" s="10">
        <v>46522</v>
      </c>
      <c r="B234" s="11">
        <v>148</v>
      </c>
      <c r="C234" s="11">
        <v>365</v>
      </c>
      <c r="D234" s="12"/>
      <c r="E234" s="13">
        <v>0.28</v>
      </c>
      <c r="F234" s="14">
        <f>+D234*E234/C234*B234</f>
        <v>0</v>
      </c>
      <c r="G234" s="12">
        <f>D234+F234</f>
        <v>0</v>
      </c>
    </row>
    <row r="235" spans="1:7" x14ac:dyDescent="0.25">
      <c r="A235" s="10">
        <v>46523</v>
      </c>
      <c r="B235" s="11">
        <v>147</v>
      </c>
      <c r="C235" s="11">
        <v>365</v>
      </c>
      <c r="D235" s="12"/>
      <c r="E235" s="13">
        <v>0.28</v>
      </c>
      <c r="F235" s="14">
        <f>+D235*E235/C235*B235</f>
        <v>0</v>
      </c>
      <c r="G235" s="12">
        <f>D235+F235</f>
        <v>0</v>
      </c>
    </row>
    <row r="236" spans="1:7" x14ac:dyDescent="0.25">
      <c r="A236" s="10">
        <v>46524</v>
      </c>
      <c r="B236" s="11">
        <v>146</v>
      </c>
      <c r="C236" s="11">
        <v>365</v>
      </c>
      <c r="D236" s="12"/>
      <c r="E236" s="13">
        <v>0.28</v>
      </c>
      <c r="F236" s="14">
        <f>+D236*E236/C236*B236</f>
        <v>0</v>
      </c>
      <c r="G236" s="12">
        <f>D236+F236</f>
        <v>0</v>
      </c>
    </row>
    <row r="237" spans="1:7" x14ac:dyDescent="0.25">
      <c r="A237" s="10">
        <v>46525</v>
      </c>
      <c r="B237" s="11">
        <v>145</v>
      </c>
      <c r="C237" s="11">
        <v>365</v>
      </c>
      <c r="D237" s="12"/>
      <c r="E237" s="13">
        <v>0.28</v>
      </c>
      <c r="F237" s="14">
        <f>+D237*E237/C237*B237</f>
        <v>0</v>
      </c>
      <c r="G237" s="12">
        <f>D237+F237</f>
        <v>0</v>
      </c>
    </row>
    <row r="238" spans="1:7" x14ac:dyDescent="0.25">
      <c r="A238" s="10">
        <v>46526</v>
      </c>
      <c r="B238" s="11">
        <v>144</v>
      </c>
      <c r="C238" s="11">
        <v>365</v>
      </c>
      <c r="D238" s="12"/>
      <c r="E238" s="13">
        <v>0.28</v>
      </c>
      <c r="F238" s="14">
        <f>+D238*E238/C238*B238</f>
        <v>0</v>
      </c>
      <c r="G238" s="12">
        <f>D238+F238</f>
        <v>0</v>
      </c>
    </row>
    <row r="239" spans="1:7" x14ac:dyDescent="0.25">
      <c r="A239" s="10">
        <v>46527</v>
      </c>
      <c r="B239" s="11">
        <v>143</v>
      </c>
      <c r="C239" s="11">
        <v>365</v>
      </c>
      <c r="D239" s="12"/>
      <c r="E239" s="13">
        <v>0.28</v>
      </c>
      <c r="F239" s="14">
        <f>+D239*E239/C239*B239</f>
        <v>0</v>
      </c>
      <c r="G239" s="12">
        <f>D239+F239</f>
        <v>0</v>
      </c>
    </row>
    <row r="240" spans="1:7" x14ac:dyDescent="0.25">
      <c r="A240" s="10">
        <v>46528</v>
      </c>
      <c r="B240" s="11">
        <v>142</v>
      </c>
      <c r="C240" s="11">
        <v>365</v>
      </c>
      <c r="D240" s="12"/>
      <c r="E240" s="13">
        <v>0.28</v>
      </c>
      <c r="F240" s="14">
        <f>+D240*E240/C240*B240</f>
        <v>0</v>
      </c>
      <c r="G240" s="12">
        <f>D240+F240</f>
        <v>0</v>
      </c>
    </row>
    <row r="241" spans="1:7" x14ac:dyDescent="0.25">
      <c r="A241" s="10">
        <v>46529</v>
      </c>
      <c r="B241" s="11">
        <v>141</v>
      </c>
      <c r="C241" s="11">
        <v>365</v>
      </c>
      <c r="D241" s="12"/>
      <c r="E241" s="13">
        <v>0.28</v>
      </c>
      <c r="F241" s="14">
        <f>+D241*E241/C241*B241</f>
        <v>0</v>
      </c>
      <c r="G241" s="12">
        <f>D241+F241</f>
        <v>0</v>
      </c>
    </row>
    <row r="242" spans="1:7" x14ac:dyDescent="0.25">
      <c r="A242" s="10">
        <v>46530</v>
      </c>
      <c r="B242" s="11">
        <v>140</v>
      </c>
      <c r="C242" s="11">
        <v>365</v>
      </c>
      <c r="D242" s="12"/>
      <c r="E242" s="13">
        <v>0.28</v>
      </c>
      <c r="F242" s="14">
        <f>+D242*E242/C242*B242</f>
        <v>0</v>
      </c>
      <c r="G242" s="12">
        <f>D242+F242</f>
        <v>0</v>
      </c>
    </row>
    <row r="243" spans="1:7" x14ac:dyDescent="0.25">
      <c r="A243" s="10">
        <v>46531</v>
      </c>
      <c r="B243" s="11">
        <v>139</v>
      </c>
      <c r="C243" s="11">
        <v>365</v>
      </c>
      <c r="D243" s="12"/>
      <c r="E243" s="13">
        <v>0.28</v>
      </c>
      <c r="F243" s="14">
        <f>+D243*E243/C243*B243</f>
        <v>0</v>
      </c>
      <c r="G243" s="12">
        <f>D243+F243</f>
        <v>0</v>
      </c>
    </row>
    <row r="244" spans="1:7" x14ac:dyDescent="0.25">
      <c r="A244" s="10">
        <v>46532</v>
      </c>
      <c r="B244" s="11">
        <v>138</v>
      </c>
      <c r="C244" s="11">
        <v>365</v>
      </c>
      <c r="D244" s="12"/>
      <c r="E244" s="13">
        <v>0.28</v>
      </c>
      <c r="F244" s="14">
        <f>+D244*E244/C244*B244</f>
        <v>0</v>
      </c>
      <c r="G244" s="12">
        <f>D244+F244</f>
        <v>0</v>
      </c>
    </row>
    <row r="245" spans="1:7" x14ac:dyDescent="0.25">
      <c r="A245" s="10">
        <v>46533</v>
      </c>
      <c r="B245" s="11">
        <v>137</v>
      </c>
      <c r="C245" s="11">
        <v>365</v>
      </c>
      <c r="D245" s="12"/>
      <c r="E245" s="13">
        <v>0.28</v>
      </c>
      <c r="F245" s="14">
        <f>+D245*E245/C245*B245</f>
        <v>0</v>
      </c>
      <c r="G245" s="12">
        <f>D245+F245</f>
        <v>0</v>
      </c>
    </row>
    <row r="246" spans="1:7" x14ac:dyDescent="0.25">
      <c r="A246" s="10">
        <v>46534</v>
      </c>
      <c r="B246" s="11">
        <v>136</v>
      </c>
      <c r="C246" s="11">
        <v>365</v>
      </c>
      <c r="D246" s="12"/>
      <c r="E246" s="13">
        <v>0.28</v>
      </c>
      <c r="F246" s="14">
        <f>+D246*E246/C246*B246</f>
        <v>0</v>
      </c>
      <c r="G246" s="12">
        <f>D246+F246</f>
        <v>0</v>
      </c>
    </row>
    <row r="247" spans="1:7" x14ac:dyDescent="0.25">
      <c r="A247" s="10">
        <v>46535</v>
      </c>
      <c r="B247" s="11">
        <v>135</v>
      </c>
      <c r="C247" s="11">
        <v>365</v>
      </c>
      <c r="D247" s="12"/>
      <c r="E247" s="13">
        <v>0.28</v>
      </c>
      <c r="F247" s="14">
        <f>+D247*E247/C247*B247</f>
        <v>0</v>
      </c>
      <c r="G247" s="12">
        <f>D247+F247</f>
        <v>0</v>
      </c>
    </row>
    <row r="248" spans="1:7" x14ac:dyDescent="0.25">
      <c r="A248" s="10">
        <v>46536</v>
      </c>
      <c r="B248" s="11">
        <v>134</v>
      </c>
      <c r="C248" s="11">
        <v>365</v>
      </c>
      <c r="D248" s="12"/>
      <c r="E248" s="13">
        <v>0.28</v>
      </c>
      <c r="F248" s="14">
        <f>+D248*E248/C248*B248</f>
        <v>0</v>
      </c>
      <c r="G248" s="12">
        <f>D248+F248</f>
        <v>0</v>
      </c>
    </row>
    <row r="249" spans="1:7" x14ac:dyDescent="0.25">
      <c r="A249" s="10">
        <v>46537</v>
      </c>
      <c r="B249" s="11">
        <v>133</v>
      </c>
      <c r="C249" s="11">
        <v>365</v>
      </c>
      <c r="D249" s="12"/>
      <c r="E249" s="13">
        <v>0.28</v>
      </c>
      <c r="F249" s="14">
        <f>+D249*E249/C249*B249</f>
        <v>0</v>
      </c>
      <c r="G249" s="12">
        <f>D249+F249</f>
        <v>0</v>
      </c>
    </row>
    <row r="250" spans="1:7" x14ac:dyDescent="0.25">
      <c r="A250" s="10">
        <v>46538</v>
      </c>
      <c r="B250" s="11">
        <v>132</v>
      </c>
      <c r="C250" s="11">
        <v>365</v>
      </c>
      <c r="D250" s="12"/>
      <c r="E250" s="13">
        <v>0.28</v>
      </c>
      <c r="F250" s="14">
        <f>+D250*E250/C250*B250</f>
        <v>0</v>
      </c>
      <c r="G250" s="12">
        <f>D250+F250</f>
        <v>0</v>
      </c>
    </row>
    <row r="251" spans="1:7" x14ac:dyDescent="0.25">
      <c r="A251" s="15" t="s">
        <v>26</v>
      </c>
      <c r="B251" s="15"/>
      <c r="C251" s="15" t="s">
        <v>18</v>
      </c>
      <c r="D251" s="16">
        <f>SUM(D220:D250)</f>
        <v>0</v>
      </c>
      <c r="E251" s="15" t="s">
        <v>19</v>
      </c>
      <c r="F251" s="17">
        <f>SUM(F220:F250)</f>
        <v>0</v>
      </c>
      <c r="G251" s="16">
        <f>SUM(G220:G250)</f>
        <v>0</v>
      </c>
    </row>
    <row r="252" spans="1:7" x14ac:dyDescent="0.25">
      <c r="A252" s="10">
        <v>46539</v>
      </c>
      <c r="B252" s="11">
        <v>131</v>
      </c>
      <c r="C252" s="11">
        <v>365</v>
      </c>
      <c r="D252" s="12"/>
      <c r="E252" s="13">
        <v>0.28</v>
      </c>
      <c r="F252" s="14">
        <f>+D252*E252/C252*B252</f>
        <v>0</v>
      </c>
      <c r="G252" s="12">
        <f>D252+F252</f>
        <v>0</v>
      </c>
    </row>
    <row r="253" spans="1:7" x14ac:dyDescent="0.25">
      <c r="A253" s="10">
        <v>46540</v>
      </c>
      <c r="B253" s="11">
        <v>130</v>
      </c>
      <c r="C253" s="11">
        <v>365</v>
      </c>
      <c r="D253" s="12"/>
      <c r="E253" s="13">
        <v>0.28</v>
      </c>
      <c r="F253" s="14">
        <f>+D253*E253/C253*B253</f>
        <v>0</v>
      </c>
      <c r="G253" s="12">
        <f>D253+F253</f>
        <v>0</v>
      </c>
    </row>
    <row r="254" spans="1:7" x14ac:dyDescent="0.25">
      <c r="A254" s="10">
        <v>46541</v>
      </c>
      <c r="B254" s="11">
        <v>129</v>
      </c>
      <c r="C254" s="11">
        <v>365</v>
      </c>
      <c r="D254" s="12"/>
      <c r="E254" s="13">
        <v>0.28</v>
      </c>
      <c r="F254" s="14">
        <f>+D254*E254/C254*B254</f>
        <v>0</v>
      </c>
      <c r="G254" s="12">
        <f>D254+F254</f>
        <v>0</v>
      </c>
    </row>
    <row r="255" spans="1:7" x14ac:dyDescent="0.25">
      <c r="A255" s="10">
        <v>46542</v>
      </c>
      <c r="B255" s="11">
        <v>128</v>
      </c>
      <c r="C255" s="11">
        <v>365</v>
      </c>
      <c r="D255" s="12"/>
      <c r="E255" s="13">
        <v>0.28</v>
      </c>
      <c r="F255" s="14">
        <f>+D255*E255/C255*B255</f>
        <v>0</v>
      </c>
      <c r="G255" s="12">
        <f>D255+F255</f>
        <v>0</v>
      </c>
    </row>
    <row r="256" spans="1:7" x14ac:dyDescent="0.25">
      <c r="A256" s="10">
        <v>46543</v>
      </c>
      <c r="B256" s="11">
        <v>127</v>
      </c>
      <c r="C256" s="11">
        <v>365</v>
      </c>
      <c r="D256" s="12"/>
      <c r="E256" s="13">
        <v>0.28</v>
      </c>
      <c r="F256" s="14">
        <f>+D256*E256/C256*B256</f>
        <v>0</v>
      </c>
      <c r="G256" s="12">
        <f>D256+F256</f>
        <v>0</v>
      </c>
    </row>
    <row r="257" spans="1:7" x14ac:dyDescent="0.25">
      <c r="A257" s="10">
        <v>46544</v>
      </c>
      <c r="B257" s="11">
        <v>126</v>
      </c>
      <c r="C257" s="11">
        <v>365</v>
      </c>
      <c r="D257" s="12"/>
      <c r="E257" s="13">
        <v>0.28</v>
      </c>
      <c r="F257" s="14">
        <f>+D257*E257/C257*B257</f>
        <v>0</v>
      </c>
      <c r="G257" s="12">
        <f>D257+F257</f>
        <v>0</v>
      </c>
    </row>
    <row r="258" spans="1:7" x14ac:dyDescent="0.25">
      <c r="A258" s="10">
        <v>46545</v>
      </c>
      <c r="B258" s="11">
        <v>125</v>
      </c>
      <c r="C258" s="11">
        <v>365</v>
      </c>
      <c r="D258" s="12"/>
      <c r="E258" s="13">
        <v>0.28</v>
      </c>
      <c r="F258" s="14">
        <f>+D258*E258/C258*B258</f>
        <v>0</v>
      </c>
      <c r="G258" s="12">
        <f>D258+F258</f>
        <v>0</v>
      </c>
    </row>
    <row r="259" spans="1:7" x14ac:dyDescent="0.25">
      <c r="A259" s="10">
        <v>46546</v>
      </c>
      <c r="B259" s="11">
        <v>124</v>
      </c>
      <c r="C259" s="11">
        <v>365</v>
      </c>
      <c r="D259" s="12"/>
      <c r="E259" s="13">
        <v>0.28</v>
      </c>
      <c r="F259" s="14">
        <f>+D259*E259/C259*B259</f>
        <v>0</v>
      </c>
      <c r="G259" s="12">
        <f>D259+F259</f>
        <v>0</v>
      </c>
    </row>
    <row r="260" spans="1:7" x14ac:dyDescent="0.25">
      <c r="A260" s="10">
        <v>46547</v>
      </c>
      <c r="B260" s="11">
        <v>123</v>
      </c>
      <c r="C260" s="11">
        <v>365</v>
      </c>
      <c r="D260" s="12"/>
      <c r="E260" s="13">
        <v>0.28</v>
      </c>
      <c r="F260" s="14">
        <f>+D260*E260/C260*B260</f>
        <v>0</v>
      </c>
      <c r="G260" s="12">
        <f>D260+F260</f>
        <v>0</v>
      </c>
    </row>
    <row r="261" spans="1:7" x14ac:dyDescent="0.25">
      <c r="A261" s="10">
        <v>46548</v>
      </c>
      <c r="B261" s="11">
        <v>122</v>
      </c>
      <c r="C261" s="11">
        <v>365</v>
      </c>
      <c r="D261" s="12"/>
      <c r="E261" s="13">
        <v>0.28</v>
      </c>
      <c r="F261" s="14">
        <f>+D261*E261/C261*B261</f>
        <v>0</v>
      </c>
      <c r="G261" s="12">
        <f>D261+F261</f>
        <v>0</v>
      </c>
    </row>
    <row r="262" spans="1:7" x14ac:dyDescent="0.25">
      <c r="A262" s="10">
        <v>46549</v>
      </c>
      <c r="B262" s="11">
        <v>121</v>
      </c>
      <c r="C262" s="11">
        <v>365</v>
      </c>
      <c r="D262" s="12"/>
      <c r="E262" s="13">
        <v>0.28</v>
      </c>
      <c r="F262" s="14">
        <f>+D262*E262/C262*B262</f>
        <v>0</v>
      </c>
      <c r="G262" s="12">
        <f>D262+F262</f>
        <v>0</v>
      </c>
    </row>
    <row r="263" spans="1:7" x14ac:dyDescent="0.25">
      <c r="A263" s="10">
        <v>46550</v>
      </c>
      <c r="B263" s="11">
        <v>120</v>
      </c>
      <c r="C263" s="11">
        <v>365</v>
      </c>
      <c r="D263" s="12"/>
      <c r="E263" s="13">
        <v>0.28</v>
      </c>
      <c r="F263" s="14">
        <f>+D263*E263/C263*B263</f>
        <v>0</v>
      </c>
      <c r="G263" s="12">
        <f>D263+F263</f>
        <v>0</v>
      </c>
    </row>
    <row r="264" spans="1:7" x14ac:dyDescent="0.25">
      <c r="A264" s="10">
        <v>46551</v>
      </c>
      <c r="B264" s="11">
        <v>119</v>
      </c>
      <c r="C264" s="11">
        <v>365</v>
      </c>
      <c r="D264" s="12"/>
      <c r="E264" s="13">
        <v>0.28</v>
      </c>
      <c r="F264" s="14">
        <f>+D264*E264/C264*B264</f>
        <v>0</v>
      </c>
      <c r="G264" s="12">
        <f>D264+F264</f>
        <v>0</v>
      </c>
    </row>
    <row r="265" spans="1:7" x14ac:dyDescent="0.25">
      <c r="A265" s="10">
        <v>46552</v>
      </c>
      <c r="B265" s="11">
        <v>118</v>
      </c>
      <c r="C265" s="11">
        <v>365</v>
      </c>
      <c r="D265" s="12"/>
      <c r="E265" s="13">
        <v>0.28</v>
      </c>
      <c r="F265" s="14">
        <f>+D265*E265/C265*B265</f>
        <v>0</v>
      </c>
      <c r="G265" s="12">
        <f>D265+F265</f>
        <v>0</v>
      </c>
    </row>
    <row r="266" spans="1:7" x14ac:dyDescent="0.25">
      <c r="A266" s="10">
        <v>46553</v>
      </c>
      <c r="B266" s="11">
        <v>117</v>
      </c>
      <c r="C266" s="11">
        <v>365</v>
      </c>
      <c r="D266" s="12"/>
      <c r="E266" s="13">
        <v>0.28</v>
      </c>
      <c r="F266" s="14">
        <f>+D266*E266/C266*B266</f>
        <v>0</v>
      </c>
      <c r="G266" s="12">
        <f>D266+F266</f>
        <v>0</v>
      </c>
    </row>
    <row r="267" spans="1:7" x14ac:dyDescent="0.25">
      <c r="A267" s="10">
        <v>46554</v>
      </c>
      <c r="B267" s="11">
        <v>116</v>
      </c>
      <c r="C267" s="11">
        <v>365</v>
      </c>
      <c r="D267" s="12"/>
      <c r="E267" s="13">
        <v>0.28</v>
      </c>
      <c r="F267" s="14">
        <f>+D267*E267/C267*B267</f>
        <v>0</v>
      </c>
      <c r="G267" s="12">
        <f>D267+F267</f>
        <v>0</v>
      </c>
    </row>
    <row r="268" spans="1:7" x14ac:dyDescent="0.25">
      <c r="A268" s="10">
        <v>46555</v>
      </c>
      <c r="B268" s="11">
        <v>115</v>
      </c>
      <c r="C268" s="11">
        <v>365</v>
      </c>
      <c r="D268" s="12"/>
      <c r="E268" s="13">
        <v>0.28</v>
      </c>
      <c r="F268" s="14">
        <f>+D268*E268/C268*B268</f>
        <v>0</v>
      </c>
      <c r="G268" s="12">
        <f>D268+F268</f>
        <v>0</v>
      </c>
    </row>
    <row r="269" spans="1:7" x14ac:dyDescent="0.25">
      <c r="A269" s="10">
        <v>46556</v>
      </c>
      <c r="B269" s="11">
        <v>114</v>
      </c>
      <c r="C269" s="11">
        <v>365</v>
      </c>
      <c r="D269" s="12"/>
      <c r="E269" s="13">
        <v>0.28</v>
      </c>
      <c r="F269" s="14">
        <f>+D269*E269/C269*B269</f>
        <v>0</v>
      </c>
      <c r="G269" s="12">
        <f>D269+F269</f>
        <v>0</v>
      </c>
    </row>
    <row r="270" spans="1:7" x14ac:dyDescent="0.25">
      <c r="A270" s="10">
        <v>46557</v>
      </c>
      <c r="B270" s="11">
        <v>113</v>
      </c>
      <c r="C270" s="11">
        <v>365</v>
      </c>
      <c r="D270" s="12"/>
      <c r="E270" s="13">
        <v>0.28</v>
      </c>
      <c r="F270" s="14">
        <f>+D270*E270/C270*B270</f>
        <v>0</v>
      </c>
      <c r="G270" s="12">
        <f>D270+F270</f>
        <v>0</v>
      </c>
    </row>
    <row r="271" spans="1:7" x14ac:dyDescent="0.25">
      <c r="A271" s="10">
        <v>46558</v>
      </c>
      <c r="B271" s="11">
        <v>112</v>
      </c>
      <c r="C271" s="11">
        <v>365</v>
      </c>
      <c r="D271" s="12"/>
      <c r="E271" s="13">
        <v>0.28</v>
      </c>
      <c r="F271" s="14">
        <f>+D271*E271/C271*B271</f>
        <v>0</v>
      </c>
      <c r="G271" s="12">
        <f>D271+F271</f>
        <v>0</v>
      </c>
    </row>
    <row r="272" spans="1:7" x14ac:dyDescent="0.25">
      <c r="A272" s="10">
        <v>46559</v>
      </c>
      <c r="B272" s="11">
        <v>111</v>
      </c>
      <c r="C272" s="11">
        <v>365</v>
      </c>
      <c r="D272" s="12"/>
      <c r="E272" s="13">
        <v>0.28</v>
      </c>
      <c r="F272" s="14">
        <f>+D272*E272/C272*B272</f>
        <v>0</v>
      </c>
      <c r="G272" s="12">
        <f>D272+F272</f>
        <v>0</v>
      </c>
    </row>
    <row r="273" spans="1:7" x14ac:dyDescent="0.25">
      <c r="A273" s="10">
        <v>46560</v>
      </c>
      <c r="B273" s="11">
        <v>110</v>
      </c>
      <c r="C273" s="11">
        <v>365</v>
      </c>
      <c r="D273" s="12"/>
      <c r="E273" s="13">
        <v>0.28</v>
      </c>
      <c r="F273" s="14">
        <f>+D273*E273/C273*B273</f>
        <v>0</v>
      </c>
      <c r="G273" s="12">
        <f>D273+F273</f>
        <v>0</v>
      </c>
    </row>
    <row r="274" spans="1:7" x14ac:dyDescent="0.25">
      <c r="A274" s="10">
        <v>46561</v>
      </c>
      <c r="B274" s="11">
        <v>109</v>
      </c>
      <c r="C274" s="11">
        <v>365</v>
      </c>
      <c r="D274" s="12"/>
      <c r="E274" s="13">
        <v>0.28</v>
      </c>
      <c r="F274" s="14">
        <f>+D274*E274/C274*B274</f>
        <v>0</v>
      </c>
      <c r="G274" s="12">
        <f>D274+F274</f>
        <v>0</v>
      </c>
    </row>
    <row r="275" spans="1:7" x14ac:dyDescent="0.25">
      <c r="A275" s="10">
        <v>46562</v>
      </c>
      <c r="B275" s="11">
        <v>108</v>
      </c>
      <c r="C275" s="11">
        <v>365</v>
      </c>
      <c r="D275" s="12"/>
      <c r="E275" s="13">
        <v>0.28</v>
      </c>
      <c r="F275" s="14">
        <f>+D275*E275/C275*B275</f>
        <v>0</v>
      </c>
      <c r="G275" s="12">
        <f>D275+F275</f>
        <v>0</v>
      </c>
    </row>
    <row r="276" spans="1:7" x14ac:dyDescent="0.25">
      <c r="A276" s="10">
        <v>46563</v>
      </c>
      <c r="B276" s="11">
        <v>107</v>
      </c>
      <c r="C276" s="11">
        <v>365</v>
      </c>
      <c r="D276" s="12"/>
      <c r="E276" s="13">
        <v>0.28</v>
      </c>
      <c r="F276" s="14">
        <f>+D276*E276/C276*B276</f>
        <v>0</v>
      </c>
      <c r="G276" s="12">
        <f>D276+F276</f>
        <v>0</v>
      </c>
    </row>
    <row r="277" spans="1:7" x14ac:dyDescent="0.25">
      <c r="A277" s="10">
        <v>46564</v>
      </c>
      <c r="B277" s="11">
        <v>106</v>
      </c>
      <c r="C277" s="11">
        <v>365</v>
      </c>
      <c r="D277" s="12"/>
      <c r="E277" s="13">
        <v>0.28</v>
      </c>
      <c r="F277" s="14">
        <f>+D277*E277/C277*B277</f>
        <v>0</v>
      </c>
      <c r="G277" s="12">
        <f>D277+F277</f>
        <v>0</v>
      </c>
    </row>
    <row r="278" spans="1:7" x14ac:dyDescent="0.25">
      <c r="A278" s="10">
        <v>46565</v>
      </c>
      <c r="B278" s="11">
        <v>105</v>
      </c>
      <c r="C278" s="11">
        <v>365</v>
      </c>
      <c r="D278" s="12"/>
      <c r="E278" s="13">
        <v>0.28</v>
      </c>
      <c r="F278" s="14">
        <f>+D278*E278/C278*B278</f>
        <v>0</v>
      </c>
      <c r="G278" s="12">
        <f>D278+F278</f>
        <v>0</v>
      </c>
    </row>
    <row r="279" spans="1:7" x14ac:dyDescent="0.25">
      <c r="A279" s="10">
        <v>46566</v>
      </c>
      <c r="B279" s="11">
        <v>104</v>
      </c>
      <c r="C279" s="11">
        <v>365</v>
      </c>
      <c r="D279" s="12"/>
      <c r="E279" s="13">
        <v>0.28</v>
      </c>
      <c r="F279" s="14">
        <f>+D279*E279/C279*B279</f>
        <v>0</v>
      </c>
      <c r="G279" s="12">
        <f>D279+F279</f>
        <v>0</v>
      </c>
    </row>
    <row r="280" spans="1:7" x14ac:dyDescent="0.25">
      <c r="A280" s="10">
        <v>46567</v>
      </c>
      <c r="B280" s="11">
        <v>103</v>
      </c>
      <c r="C280" s="11">
        <v>365</v>
      </c>
      <c r="D280" s="12"/>
      <c r="E280" s="13">
        <v>0.28</v>
      </c>
      <c r="F280" s="14">
        <f>+D280*E280/C280*B280</f>
        <v>0</v>
      </c>
      <c r="G280" s="12">
        <f>D280+F280</f>
        <v>0</v>
      </c>
    </row>
    <row r="281" spans="1:7" x14ac:dyDescent="0.25">
      <c r="A281" s="10">
        <v>46568</v>
      </c>
      <c r="B281" s="11">
        <v>102</v>
      </c>
      <c r="C281" s="11">
        <v>365</v>
      </c>
      <c r="D281" s="12"/>
      <c r="E281" s="13">
        <v>0.28</v>
      </c>
      <c r="F281" s="14">
        <f>+D281*E281/C281*B281</f>
        <v>0</v>
      </c>
      <c r="G281" s="12">
        <f>D281+F281</f>
        <v>0</v>
      </c>
    </row>
    <row r="282" spans="1:7" x14ac:dyDescent="0.25">
      <c r="A282" s="15" t="s">
        <v>27</v>
      </c>
      <c r="B282" s="15"/>
      <c r="C282" s="15" t="s">
        <v>18</v>
      </c>
      <c r="D282" s="16">
        <f>SUM(D252:D281)</f>
        <v>0</v>
      </c>
      <c r="E282" s="15" t="s">
        <v>19</v>
      </c>
      <c r="F282" s="17">
        <f>SUM(F252:F281)</f>
        <v>0</v>
      </c>
      <c r="G282" s="16">
        <f>SUM(G252:G281)</f>
        <v>0</v>
      </c>
    </row>
    <row r="283" spans="1:7" x14ac:dyDescent="0.25">
      <c r="A283" s="10">
        <v>46569</v>
      </c>
      <c r="B283" s="11">
        <v>101</v>
      </c>
      <c r="C283" s="11">
        <v>365</v>
      </c>
      <c r="D283" s="12"/>
      <c r="E283" s="13">
        <v>0.28</v>
      </c>
      <c r="F283" s="14">
        <f>+D283*E283/C283*B283</f>
        <v>0</v>
      </c>
      <c r="G283" s="12">
        <f>D283+F283</f>
        <v>0</v>
      </c>
    </row>
    <row r="284" spans="1:7" x14ac:dyDescent="0.25">
      <c r="A284" s="10">
        <v>46570</v>
      </c>
      <c r="B284" s="11">
        <v>100</v>
      </c>
      <c r="C284" s="11">
        <v>365</v>
      </c>
      <c r="D284" s="12"/>
      <c r="E284" s="13">
        <v>0.28</v>
      </c>
      <c r="F284" s="14">
        <f>+D284*E284/C284*B284</f>
        <v>0</v>
      </c>
      <c r="G284" s="12">
        <f>D284+F284</f>
        <v>0</v>
      </c>
    </row>
    <row r="285" spans="1:7" x14ac:dyDescent="0.25">
      <c r="A285" s="10">
        <v>46571</v>
      </c>
      <c r="B285" s="11">
        <v>99</v>
      </c>
      <c r="C285" s="11">
        <v>365</v>
      </c>
      <c r="D285" s="12"/>
      <c r="E285" s="13">
        <v>0.28</v>
      </c>
      <c r="F285" s="14">
        <f>+D285*E285/C285*B285</f>
        <v>0</v>
      </c>
      <c r="G285" s="12">
        <f>D285+F285</f>
        <v>0</v>
      </c>
    </row>
    <row r="286" spans="1:7" x14ac:dyDescent="0.25">
      <c r="A286" s="10">
        <v>46572</v>
      </c>
      <c r="B286" s="11">
        <v>98</v>
      </c>
      <c r="C286" s="11">
        <v>365</v>
      </c>
      <c r="D286" s="12"/>
      <c r="E286" s="13">
        <v>0.28</v>
      </c>
      <c r="F286" s="14">
        <f>+D286*E286/C286*B286</f>
        <v>0</v>
      </c>
      <c r="G286" s="12">
        <f>D286+F286</f>
        <v>0</v>
      </c>
    </row>
    <row r="287" spans="1:7" x14ac:dyDescent="0.25">
      <c r="A287" s="10">
        <v>46573</v>
      </c>
      <c r="B287" s="11">
        <v>97</v>
      </c>
      <c r="C287" s="11">
        <v>365</v>
      </c>
      <c r="D287" s="12"/>
      <c r="E287" s="13">
        <v>0.28</v>
      </c>
      <c r="F287" s="14">
        <f>+D287*E287/C287*B287</f>
        <v>0</v>
      </c>
      <c r="G287" s="12">
        <f>D287+F287</f>
        <v>0</v>
      </c>
    </row>
    <row r="288" spans="1:7" x14ac:dyDescent="0.25">
      <c r="A288" s="10">
        <v>46574</v>
      </c>
      <c r="B288" s="11">
        <v>96</v>
      </c>
      <c r="C288" s="11">
        <v>365</v>
      </c>
      <c r="D288" s="12"/>
      <c r="E288" s="13">
        <v>0.28</v>
      </c>
      <c r="F288" s="14">
        <f>+D288*E288/C288*B288</f>
        <v>0</v>
      </c>
      <c r="G288" s="12">
        <f>D288+F288</f>
        <v>0</v>
      </c>
    </row>
    <row r="289" spans="1:7" x14ac:dyDescent="0.25">
      <c r="A289" s="10">
        <v>46575</v>
      </c>
      <c r="B289" s="11">
        <v>95</v>
      </c>
      <c r="C289" s="11">
        <v>365</v>
      </c>
      <c r="D289" s="12"/>
      <c r="E289" s="13">
        <v>0.28</v>
      </c>
      <c r="F289" s="14">
        <f>+D289*E289/C289*B289</f>
        <v>0</v>
      </c>
      <c r="G289" s="12">
        <f>D289+F289</f>
        <v>0</v>
      </c>
    </row>
    <row r="290" spans="1:7" x14ac:dyDescent="0.25">
      <c r="A290" s="10">
        <v>46576</v>
      </c>
      <c r="B290" s="11">
        <v>94</v>
      </c>
      <c r="C290" s="11">
        <v>365</v>
      </c>
      <c r="D290" s="12"/>
      <c r="E290" s="13">
        <v>0.28</v>
      </c>
      <c r="F290" s="14">
        <f>+D290*E290/C290*B290</f>
        <v>0</v>
      </c>
      <c r="G290" s="12">
        <f>D290+F290</f>
        <v>0</v>
      </c>
    </row>
    <row r="291" spans="1:7" x14ac:dyDescent="0.25">
      <c r="A291" s="10">
        <v>46577</v>
      </c>
      <c r="B291" s="11">
        <v>93</v>
      </c>
      <c r="C291" s="11">
        <v>365</v>
      </c>
      <c r="D291" s="12"/>
      <c r="E291" s="13">
        <v>0.28</v>
      </c>
      <c r="F291" s="14">
        <f>+D291*E291/C291*B291</f>
        <v>0</v>
      </c>
      <c r="G291" s="12">
        <f>D291+F291</f>
        <v>0</v>
      </c>
    </row>
    <row r="292" spans="1:7" x14ac:dyDescent="0.25">
      <c r="A292" s="10">
        <v>46578</v>
      </c>
      <c r="B292" s="11">
        <v>92</v>
      </c>
      <c r="C292" s="11">
        <v>365</v>
      </c>
      <c r="D292" s="12"/>
      <c r="E292" s="13">
        <v>0.28</v>
      </c>
      <c r="F292" s="14">
        <f>+D292*E292/C292*B292</f>
        <v>0</v>
      </c>
      <c r="G292" s="12">
        <f>D292+F292</f>
        <v>0</v>
      </c>
    </row>
    <row r="293" spans="1:7" x14ac:dyDescent="0.25">
      <c r="A293" s="10">
        <v>46579</v>
      </c>
      <c r="B293" s="11">
        <v>91</v>
      </c>
      <c r="C293" s="11">
        <v>365</v>
      </c>
      <c r="D293" s="12"/>
      <c r="E293" s="13">
        <v>0.28</v>
      </c>
      <c r="F293" s="14">
        <f>+D293*E293/C293*B293</f>
        <v>0</v>
      </c>
      <c r="G293" s="12">
        <f>D293+F293</f>
        <v>0</v>
      </c>
    </row>
    <row r="294" spans="1:7" x14ac:dyDescent="0.25">
      <c r="A294" s="10">
        <v>46580</v>
      </c>
      <c r="B294" s="11">
        <v>90</v>
      </c>
      <c r="C294" s="11">
        <v>365</v>
      </c>
      <c r="D294" s="12"/>
      <c r="E294" s="13">
        <v>0.28</v>
      </c>
      <c r="F294" s="14">
        <f>+D294*E294/C294*B294</f>
        <v>0</v>
      </c>
      <c r="G294" s="12">
        <f>D294+F294</f>
        <v>0</v>
      </c>
    </row>
    <row r="295" spans="1:7" x14ac:dyDescent="0.25">
      <c r="A295" s="10">
        <v>46581</v>
      </c>
      <c r="B295" s="11">
        <v>89</v>
      </c>
      <c r="C295" s="11">
        <v>365</v>
      </c>
      <c r="D295" s="12"/>
      <c r="E295" s="13">
        <v>0.28</v>
      </c>
      <c r="F295" s="14">
        <f>+D295*E295/C295*B295</f>
        <v>0</v>
      </c>
      <c r="G295" s="12">
        <f>D295+F295</f>
        <v>0</v>
      </c>
    </row>
    <row r="296" spans="1:7" x14ac:dyDescent="0.25">
      <c r="A296" s="10">
        <v>46582</v>
      </c>
      <c r="B296" s="11">
        <v>88</v>
      </c>
      <c r="C296" s="11">
        <v>365</v>
      </c>
      <c r="D296" s="12"/>
      <c r="E296" s="13">
        <v>0.28</v>
      </c>
      <c r="F296" s="14">
        <f>+D296*E296/C296*B296</f>
        <v>0</v>
      </c>
      <c r="G296" s="12">
        <f>D296+F296</f>
        <v>0</v>
      </c>
    </row>
    <row r="297" spans="1:7" x14ac:dyDescent="0.25">
      <c r="A297" s="10">
        <v>46583</v>
      </c>
      <c r="B297" s="11">
        <v>87</v>
      </c>
      <c r="C297" s="11">
        <v>365</v>
      </c>
      <c r="D297" s="12"/>
      <c r="E297" s="13">
        <v>0.28</v>
      </c>
      <c r="F297" s="14">
        <f>+D297*E297/C297*B297</f>
        <v>0</v>
      </c>
      <c r="G297" s="12">
        <f>D297+F297</f>
        <v>0</v>
      </c>
    </row>
    <row r="298" spans="1:7" x14ac:dyDescent="0.25">
      <c r="A298" s="10">
        <v>46584</v>
      </c>
      <c r="B298" s="11">
        <v>86</v>
      </c>
      <c r="C298" s="11">
        <v>365</v>
      </c>
      <c r="D298" s="12"/>
      <c r="E298" s="13">
        <v>0.28</v>
      </c>
      <c r="F298" s="14">
        <f>+D298*E298/C298*B298</f>
        <v>0</v>
      </c>
      <c r="G298" s="12">
        <f>D298+F298</f>
        <v>0</v>
      </c>
    </row>
    <row r="299" spans="1:7" x14ac:dyDescent="0.25">
      <c r="A299" s="10">
        <v>46585</v>
      </c>
      <c r="B299" s="11">
        <v>85</v>
      </c>
      <c r="C299" s="11">
        <v>365</v>
      </c>
      <c r="D299" s="12"/>
      <c r="E299" s="13">
        <v>0.28</v>
      </c>
      <c r="F299" s="14">
        <f>+D299*E299/C299*B299</f>
        <v>0</v>
      </c>
      <c r="G299" s="12">
        <f>D299+F299</f>
        <v>0</v>
      </c>
    </row>
    <row r="300" spans="1:7" x14ac:dyDescent="0.25">
      <c r="A300" s="10">
        <v>46586</v>
      </c>
      <c r="B300" s="11">
        <v>84</v>
      </c>
      <c r="C300" s="11">
        <v>365</v>
      </c>
      <c r="D300" s="12"/>
      <c r="E300" s="13">
        <v>0.28</v>
      </c>
      <c r="F300" s="14">
        <f>+D300*E300/C300*B300</f>
        <v>0</v>
      </c>
      <c r="G300" s="12">
        <f>D300+F300</f>
        <v>0</v>
      </c>
    </row>
    <row r="301" spans="1:7" x14ac:dyDescent="0.25">
      <c r="A301" s="10">
        <v>46587</v>
      </c>
      <c r="B301" s="11">
        <v>83</v>
      </c>
      <c r="C301" s="11">
        <v>365</v>
      </c>
      <c r="D301" s="12"/>
      <c r="E301" s="13">
        <v>0.28</v>
      </c>
      <c r="F301" s="14">
        <f>+D301*E301/C301*B301</f>
        <v>0</v>
      </c>
      <c r="G301" s="12">
        <f>D301+F301</f>
        <v>0</v>
      </c>
    </row>
    <row r="302" spans="1:7" x14ac:dyDescent="0.25">
      <c r="A302" s="10">
        <v>46588</v>
      </c>
      <c r="B302" s="11">
        <v>82</v>
      </c>
      <c r="C302" s="11">
        <v>365</v>
      </c>
      <c r="D302" s="12"/>
      <c r="E302" s="13">
        <v>0.28</v>
      </c>
      <c r="F302" s="14">
        <f>+D302*E302/C302*B302</f>
        <v>0</v>
      </c>
      <c r="G302" s="12">
        <f>D302+F302</f>
        <v>0</v>
      </c>
    </row>
    <row r="303" spans="1:7" x14ac:dyDescent="0.25">
      <c r="A303" s="10">
        <v>46589</v>
      </c>
      <c r="B303" s="11">
        <v>81</v>
      </c>
      <c r="C303" s="11">
        <v>365</v>
      </c>
      <c r="D303" s="12"/>
      <c r="E303" s="13">
        <v>0.28</v>
      </c>
      <c r="F303" s="14">
        <f>+D303*E303/C303*B303</f>
        <v>0</v>
      </c>
      <c r="G303" s="12">
        <f>D303+F303</f>
        <v>0</v>
      </c>
    </row>
    <row r="304" spans="1:7" x14ac:dyDescent="0.25">
      <c r="A304" s="10">
        <v>46590</v>
      </c>
      <c r="B304" s="11">
        <v>80</v>
      </c>
      <c r="C304" s="11">
        <v>365</v>
      </c>
      <c r="D304" s="12"/>
      <c r="E304" s="13">
        <v>0.28</v>
      </c>
      <c r="F304" s="14">
        <f>+D304*E304/C304*B304</f>
        <v>0</v>
      </c>
      <c r="G304" s="12">
        <f>D304+F304</f>
        <v>0</v>
      </c>
    </row>
    <row r="305" spans="1:7" x14ac:dyDescent="0.25">
      <c r="A305" s="10">
        <v>46591</v>
      </c>
      <c r="B305" s="11">
        <v>79</v>
      </c>
      <c r="C305" s="11">
        <v>365</v>
      </c>
      <c r="D305" s="12"/>
      <c r="E305" s="13">
        <v>0.28</v>
      </c>
      <c r="F305" s="14">
        <f>+D305*E305/C305*B305</f>
        <v>0</v>
      </c>
      <c r="G305" s="12">
        <f>D305+F305</f>
        <v>0</v>
      </c>
    </row>
    <row r="306" spans="1:7" x14ac:dyDescent="0.25">
      <c r="A306" s="10">
        <v>46592</v>
      </c>
      <c r="B306" s="11">
        <v>78</v>
      </c>
      <c r="C306" s="11">
        <v>365</v>
      </c>
      <c r="D306" s="12"/>
      <c r="E306" s="13">
        <v>0.28</v>
      </c>
      <c r="F306" s="14">
        <f>+D306*E306/C306*B306</f>
        <v>0</v>
      </c>
      <c r="G306" s="12">
        <f>D306+F306</f>
        <v>0</v>
      </c>
    </row>
    <row r="307" spans="1:7" x14ac:dyDescent="0.25">
      <c r="A307" s="10">
        <v>46593</v>
      </c>
      <c r="B307" s="11">
        <v>77</v>
      </c>
      <c r="C307" s="11">
        <v>365</v>
      </c>
      <c r="D307" s="12"/>
      <c r="E307" s="13">
        <v>0.28</v>
      </c>
      <c r="F307" s="14">
        <f>+D307*E307/C307*B307</f>
        <v>0</v>
      </c>
      <c r="G307" s="12">
        <f>D307+F307</f>
        <v>0</v>
      </c>
    </row>
    <row r="308" spans="1:7" x14ac:dyDescent="0.25">
      <c r="A308" s="10">
        <v>46594</v>
      </c>
      <c r="B308" s="11">
        <v>76</v>
      </c>
      <c r="C308" s="11">
        <v>365</v>
      </c>
      <c r="D308" s="12"/>
      <c r="E308" s="13">
        <v>0.28</v>
      </c>
      <c r="F308" s="14">
        <f>+D308*E308/C308*B308</f>
        <v>0</v>
      </c>
      <c r="G308" s="12">
        <f>D308+F308</f>
        <v>0</v>
      </c>
    </row>
    <row r="309" spans="1:7" x14ac:dyDescent="0.25">
      <c r="A309" s="10">
        <v>46595</v>
      </c>
      <c r="B309" s="11">
        <v>75</v>
      </c>
      <c r="C309" s="11">
        <v>365</v>
      </c>
      <c r="D309" s="12"/>
      <c r="E309" s="13">
        <v>0.28</v>
      </c>
      <c r="F309" s="14">
        <f>+D309*E309/C309*B309</f>
        <v>0</v>
      </c>
      <c r="G309" s="12">
        <f>D309+F309</f>
        <v>0</v>
      </c>
    </row>
    <row r="310" spans="1:7" x14ac:dyDescent="0.25">
      <c r="A310" s="10">
        <v>46596</v>
      </c>
      <c r="B310" s="11">
        <v>74</v>
      </c>
      <c r="C310" s="11">
        <v>365</v>
      </c>
      <c r="D310" s="12"/>
      <c r="E310" s="13">
        <v>0.28</v>
      </c>
      <c r="F310" s="14">
        <f>+D310*E310/C310*B310</f>
        <v>0</v>
      </c>
      <c r="G310" s="12">
        <f>D310+F310</f>
        <v>0</v>
      </c>
    </row>
    <row r="311" spans="1:7" x14ac:dyDescent="0.25">
      <c r="A311" s="10">
        <v>46597</v>
      </c>
      <c r="B311" s="11">
        <v>73</v>
      </c>
      <c r="C311" s="11">
        <v>365</v>
      </c>
      <c r="D311" s="12"/>
      <c r="E311" s="13">
        <v>0.28</v>
      </c>
      <c r="F311" s="14">
        <f>+D311*E311/C311*B311</f>
        <v>0</v>
      </c>
      <c r="G311" s="12">
        <f>D311+F311</f>
        <v>0</v>
      </c>
    </row>
    <row r="312" spans="1:7" x14ac:dyDescent="0.25">
      <c r="A312" s="10">
        <v>46598</v>
      </c>
      <c r="B312" s="11">
        <v>72</v>
      </c>
      <c r="C312" s="11">
        <v>365</v>
      </c>
      <c r="D312" s="12"/>
      <c r="E312" s="13">
        <v>0.28</v>
      </c>
      <c r="F312" s="14">
        <f>+D312*E312/C312*B312</f>
        <v>0</v>
      </c>
      <c r="G312" s="12">
        <f>D312+F312</f>
        <v>0</v>
      </c>
    </row>
    <row r="313" spans="1:7" x14ac:dyDescent="0.25">
      <c r="A313" s="10">
        <v>46599</v>
      </c>
      <c r="B313" s="11">
        <v>71</v>
      </c>
      <c r="C313" s="11">
        <v>365</v>
      </c>
      <c r="D313" s="12"/>
      <c r="E313" s="13">
        <v>0.28</v>
      </c>
      <c r="F313" s="14">
        <f>+D313*E313/C313*B313</f>
        <v>0</v>
      </c>
      <c r="G313" s="12">
        <f>D313+F313</f>
        <v>0</v>
      </c>
    </row>
    <row r="314" spans="1:7" x14ac:dyDescent="0.25">
      <c r="A314" s="15" t="s">
        <v>28</v>
      </c>
      <c r="B314" s="15"/>
      <c r="C314" s="15" t="s">
        <v>18</v>
      </c>
      <c r="D314" s="16">
        <f>SUM(D283:D313)</f>
        <v>0</v>
      </c>
      <c r="E314" s="15" t="s">
        <v>19</v>
      </c>
      <c r="F314" s="17">
        <f>SUM(F283:F313)</f>
        <v>0</v>
      </c>
      <c r="G314" s="16">
        <f>SUM(G283:G313)</f>
        <v>0</v>
      </c>
    </row>
    <row r="315" spans="1:7" x14ac:dyDescent="0.25">
      <c r="A315" s="10">
        <v>46600</v>
      </c>
      <c r="B315" s="11">
        <v>70</v>
      </c>
      <c r="C315" s="11">
        <v>365</v>
      </c>
      <c r="D315" s="12"/>
      <c r="E315" s="13">
        <v>0.28</v>
      </c>
      <c r="F315" s="14">
        <f>+D315*E315/C315*B315</f>
        <v>0</v>
      </c>
      <c r="G315" s="12">
        <f>D315+F315</f>
        <v>0</v>
      </c>
    </row>
    <row r="316" spans="1:7" x14ac:dyDescent="0.25">
      <c r="A316" s="10">
        <v>46601</v>
      </c>
      <c r="B316" s="11">
        <v>69</v>
      </c>
      <c r="C316" s="11">
        <v>365</v>
      </c>
      <c r="D316" s="12"/>
      <c r="E316" s="13">
        <v>0.28</v>
      </c>
      <c r="F316" s="14">
        <f>+D316*E316/C316*B316</f>
        <v>0</v>
      </c>
      <c r="G316" s="12">
        <f>D316+F316</f>
        <v>0</v>
      </c>
    </row>
    <row r="317" spans="1:7" x14ac:dyDescent="0.25">
      <c r="A317" s="10">
        <v>46602</v>
      </c>
      <c r="B317" s="11">
        <v>68</v>
      </c>
      <c r="C317" s="11">
        <v>365</v>
      </c>
      <c r="D317" s="12"/>
      <c r="E317" s="13">
        <v>0.28</v>
      </c>
      <c r="F317" s="14">
        <f>+D317*E317/C317*B317</f>
        <v>0</v>
      </c>
      <c r="G317" s="12">
        <f>D317+F317</f>
        <v>0</v>
      </c>
    </row>
    <row r="318" spans="1:7" x14ac:dyDescent="0.25">
      <c r="A318" s="10">
        <v>46603</v>
      </c>
      <c r="B318" s="11">
        <v>67</v>
      </c>
      <c r="C318" s="11">
        <v>365</v>
      </c>
      <c r="D318" s="12"/>
      <c r="E318" s="13">
        <v>0.28</v>
      </c>
      <c r="F318" s="14">
        <f>+D318*E318/C318*B318</f>
        <v>0</v>
      </c>
      <c r="G318" s="12">
        <f>D318+F318</f>
        <v>0</v>
      </c>
    </row>
    <row r="319" spans="1:7" x14ac:dyDescent="0.25">
      <c r="A319" s="10">
        <v>46604</v>
      </c>
      <c r="B319" s="11">
        <v>66</v>
      </c>
      <c r="C319" s="11">
        <v>365</v>
      </c>
      <c r="D319" s="12"/>
      <c r="E319" s="13">
        <v>0.28</v>
      </c>
      <c r="F319" s="14">
        <f>+D319*E319/C319*B319</f>
        <v>0</v>
      </c>
      <c r="G319" s="12">
        <f>D319+F319</f>
        <v>0</v>
      </c>
    </row>
    <row r="320" spans="1:7" x14ac:dyDescent="0.25">
      <c r="A320" s="10">
        <v>46605</v>
      </c>
      <c r="B320" s="11">
        <v>65</v>
      </c>
      <c r="C320" s="11">
        <v>365</v>
      </c>
      <c r="D320" s="12"/>
      <c r="E320" s="13">
        <v>0.28</v>
      </c>
      <c r="F320" s="14">
        <f>+D320*E320/C320*B320</f>
        <v>0</v>
      </c>
      <c r="G320" s="12">
        <f>D320+F320</f>
        <v>0</v>
      </c>
    </row>
    <row r="321" spans="1:7" x14ac:dyDescent="0.25">
      <c r="A321" s="10">
        <v>46606</v>
      </c>
      <c r="B321" s="11">
        <v>64</v>
      </c>
      <c r="C321" s="11">
        <v>365</v>
      </c>
      <c r="D321" s="12"/>
      <c r="E321" s="13">
        <v>0.28</v>
      </c>
      <c r="F321" s="14">
        <f>+D321*E321/C321*B321</f>
        <v>0</v>
      </c>
      <c r="G321" s="12">
        <f>D321+F321</f>
        <v>0</v>
      </c>
    </row>
    <row r="322" spans="1:7" x14ac:dyDescent="0.25">
      <c r="A322" s="10">
        <v>46607</v>
      </c>
      <c r="B322" s="11">
        <v>63</v>
      </c>
      <c r="C322" s="11">
        <v>365</v>
      </c>
      <c r="D322" s="12"/>
      <c r="E322" s="13">
        <v>0.28</v>
      </c>
      <c r="F322" s="14">
        <f>+D322*E322/C322*B322</f>
        <v>0</v>
      </c>
      <c r="G322" s="12">
        <f>D322+F322</f>
        <v>0</v>
      </c>
    </row>
    <row r="323" spans="1:7" x14ac:dyDescent="0.25">
      <c r="A323" s="10">
        <v>46608</v>
      </c>
      <c r="B323" s="11">
        <v>62</v>
      </c>
      <c r="C323" s="11">
        <v>365</v>
      </c>
      <c r="D323" s="12"/>
      <c r="E323" s="13">
        <v>0.28</v>
      </c>
      <c r="F323" s="14">
        <f>+D323*E323/C323*B323</f>
        <v>0</v>
      </c>
      <c r="G323" s="12">
        <f>D323+F323</f>
        <v>0</v>
      </c>
    </row>
    <row r="324" spans="1:7" x14ac:dyDescent="0.25">
      <c r="A324" s="10">
        <v>46609</v>
      </c>
      <c r="B324" s="11">
        <v>61</v>
      </c>
      <c r="C324" s="11">
        <v>365</v>
      </c>
      <c r="D324" s="12"/>
      <c r="E324" s="13">
        <v>0.28</v>
      </c>
      <c r="F324" s="14">
        <f>+D324*E324/C324*B324</f>
        <v>0</v>
      </c>
      <c r="G324" s="12">
        <f>D324+F324</f>
        <v>0</v>
      </c>
    </row>
    <row r="325" spans="1:7" x14ac:dyDescent="0.25">
      <c r="A325" s="10">
        <v>46610</v>
      </c>
      <c r="B325" s="11">
        <v>60</v>
      </c>
      <c r="C325" s="11">
        <v>365</v>
      </c>
      <c r="D325" s="12"/>
      <c r="E325" s="13">
        <v>0.28</v>
      </c>
      <c r="F325" s="14">
        <f>+D325*E325/C325*B325</f>
        <v>0</v>
      </c>
      <c r="G325" s="12">
        <f>D325+F325</f>
        <v>0</v>
      </c>
    </row>
    <row r="326" spans="1:7" x14ac:dyDescent="0.25">
      <c r="A326" s="10">
        <v>46611</v>
      </c>
      <c r="B326" s="11">
        <v>59</v>
      </c>
      <c r="C326" s="11">
        <v>365</v>
      </c>
      <c r="D326" s="12"/>
      <c r="E326" s="13">
        <v>0.28</v>
      </c>
      <c r="F326" s="14">
        <f>+D326*E326/C326*B326</f>
        <v>0</v>
      </c>
      <c r="G326" s="12">
        <f>D326+F326</f>
        <v>0</v>
      </c>
    </row>
    <row r="327" spans="1:7" x14ac:dyDescent="0.25">
      <c r="A327" s="10">
        <v>46612</v>
      </c>
      <c r="B327" s="11">
        <v>58</v>
      </c>
      <c r="C327" s="11">
        <v>365</v>
      </c>
      <c r="D327" s="12"/>
      <c r="E327" s="13">
        <v>0.28</v>
      </c>
      <c r="F327" s="14">
        <f>+D327*E327/C327*B327</f>
        <v>0</v>
      </c>
      <c r="G327" s="12">
        <f>D327+F327</f>
        <v>0</v>
      </c>
    </row>
    <row r="328" spans="1:7" x14ac:dyDescent="0.25">
      <c r="A328" s="10">
        <v>46613</v>
      </c>
      <c r="B328" s="11">
        <v>57</v>
      </c>
      <c r="C328" s="11">
        <v>365</v>
      </c>
      <c r="D328" s="12"/>
      <c r="E328" s="13">
        <v>0.28</v>
      </c>
      <c r="F328" s="14">
        <f>+D328*E328/C328*B328</f>
        <v>0</v>
      </c>
      <c r="G328" s="12">
        <f>D328+F328</f>
        <v>0</v>
      </c>
    </row>
    <row r="329" spans="1:7" x14ac:dyDescent="0.25">
      <c r="A329" s="10">
        <v>46614</v>
      </c>
      <c r="B329" s="11">
        <v>56</v>
      </c>
      <c r="C329" s="11">
        <v>365</v>
      </c>
      <c r="D329" s="12"/>
      <c r="E329" s="13">
        <v>0.28</v>
      </c>
      <c r="F329" s="14">
        <f>+D329*E329/C329*B329</f>
        <v>0</v>
      </c>
      <c r="G329" s="12">
        <f>D329+F329</f>
        <v>0</v>
      </c>
    </row>
    <row r="330" spans="1:7" x14ac:dyDescent="0.25">
      <c r="A330" s="10">
        <v>46615</v>
      </c>
      <c r="B330" s="11">
        <v>55</v>
      </c>
      <c r="C330" s="11">
        <v>365</v>
      </c>
      <c r="D330" s="12"/>
      <c r="E330" s="13">
        <v>0.28</v>
      </c>
      <c r="F330" s="14">
        <f>+D330*E330/C330*B330</f>
        <v>0</v>
      </c>
      <c r="G330" s="12">
        <f>D330+F330</f>
        <v>0</v>
      </c>
    </row>
    <row r="331" spans="1:7" x14ac:dyDescent="0.25">
      <c r="A331" s="10">
        <v>46616</v>
      </c>
      <c r="B331" s="11">
        <v>54</v>
      </c>
      <c r="C331" s="11">
        <v>365</v>
      </c>
      <c r="D331" s="12"/>
      <c r="E331" s="13">
        <v>0.28</v>
      </c>
      <c r="F331" s="14">
        <f>+D331*E331/C331*B331</f>
        <v>0</v>
      </c>
      <c r="G331" s="12">
        <f>D331+F331</f>
        <v>0</v>
      </c>
    </row>
    <row r="332" spans="1:7" x14ac:dyDescent="0.25">
      <c r="A332" s="10">
        <v>46617</v>
      </c>
      <c r="B332" s="11">
        <v>53</v>
      </c>
      <c r="C332" s="11">
        <v>365</v>
      </c>
      <c r="D332" s="12"/>
      <c r="E332" s="13">
        <v>0.28</v>
      </c>
      <c r="F332" s="14">
        <f>+D332*E332/C332*B332</f>
        <v>0</v>
      </c>
      <c r="G332" s="12">
        <f>D332+F332</f>
        <v>0</v>
      </c>
    </row>
    <row r="333" spans="1:7" x14ac:dyDescent="0.25">
      <c r="A333" s="10">
        <v>46618</v>
      </c>
      <c r="B333" s="11">
        <v>52</v>
      </c>
      <c r="C333" s="11">
        <v>365</v>
      </c>
      <c r="D333" s="12"/>
      <c r="E333" s="13">
        <v>0.28</v>
      </c>
      <c r="F333" s="14">
        <f>+D333*E333/C333*B333</f>
        <v>0</v>
      </c>
      <c r="G333" s="12">
        <f>D333+F333</f>
        <v>0</v>
      </c>
    </row>
    <row r="334" spans="1:7" x14ac:dyDescent="0.25">
      <c r="A334" s="10">
        <v>46619</v>
      </c>
      <c r="B334" s="11">
        <v>51</v>
      </c>
      <c r="C334" s="11">
        <v>365</v>
      </c>
      <c r="D334" s="12"/>
      <c r="E334" s="13">
        <v>0.28</v>
      </c>
      <c r="F334" s="14">
        <f>+D334*E334/C334*B334</f>
        <v>0</v>
      </c>
      <c r="G334" s="12">
        <f>D334+F334</f>
        <v>0</v>
      </c>
    </row>
    <row r="335" spans="1:7" x14ac:dyDescent="0.25">
      <c r="A335" s="10">
        <v>46620</v>
      </c>
      <c r="B335" s="11">
        <v>50</v>
      </c>
      <c r="C335" s="11">
        <v>365</v>
      </c>
      <c r="D335" s="12"/>
      <c r="E335" s="13">
        <v>0.28</v>
      </c>
      <c r="F335" s="14">
        <f>+D335*E335/C335*B335</f>
        <v>0</v>
      </c>
      <c r="G335" s="12">
        <f>D335+F335</f>
        <v>0</v>
      </c>
    </row>
    <row r="336" spans="1:7" x14ac:dyDescent="0.25">
      <c r="A336" s="10">
        <v>46621</v>
      </c>
      <c r="B336" s="11">
        <v>49</v>
      </c>
      <c r="C336" s="11">
        <v>365</v>
      </c>
      <c r="D336" s="12"/>
      <c r="E336" s="13">
        <v>0.28</v>
      </c>
      <c r="F336" s="14">
        <f>+D336*E336/C336*B336</f>
        <v>0</v>
      </c>
      <c r="G336" s="12">
        <f>D336+F336</f>
        <v>0</v>
      </c>
    </row>
    <row r="337" spans="1:7" x14ac:dyDescent="0.25">
      <c r="A337" s="10">
        <v>46622</v>
      </c>
      <c r="B337" s="11">
        <v>48</v>
      </c>
      <c r="C337" s="11">
        <v>365</v>
      </c>
      <c r="D337" s="12"/>
      <c r="E337" s="13">
        <v>0.28</v>
      </c>
      <c r="F337" s="14">
        <f>+D337*E337/C337*B337</f>
        <v>0</v>
      </c>
      <c r="G337" s="12">
        <f>D337+F337</f>
        <v>0</v>
      </c>
    </row>
    <row r="338" spans="1:7" x14ac:dyDescent="0.25">
      <c r="A338" s="10">
        <v>46623</v>
      </c>
      <c r="B338" s="11">
        <v>47</v>
      </c>
      <c r="C338" s="11">
        <v>365</v>
      </c>
      <c r="D338" s="12"/>
      <c r="E338" s="13">
        <v>0.28</v>
      </c>
      <c r="F338" s="14">
        <f>+D338*E338/C338*B338</f>
        <v>0</v>
      </c>
      <c r="G338" s="12">
        <f>D338+F338</f>
        <v>0</v>
      </c>
    </row>
    <row r="339" spans="1:7" x14ac:dyDescent="0.25">
      <c r="A339" s="10">
        <v>46624</v>
      </c>
      <c r="B339" s="11">
        <v>46</v>
      </c>
      <c r="C339" s="11">
        <v>365</v>
      </c>
      <c r="D339" s="12"/>
      <c r="E339" s="13">
        <v>0.28</v>
      </c>
      <c r="F339" s="14">
        <f>+D339*E339/C339*B339</f>
        <v>0</v>
      </c>
      <c r="G339" s="12">
        <f>D339+F339</f>
        <v>0</v>
      </c>
    </row>
    <row r="340" spans="1:7" x14ac:dyDescent="0.25">
      <c r="A340" s="10">
        <v>46625</v>
      </c>
      <c r="B340" s="11">
        <v>45</v>
      </c>
      <c r="C340" s="11">
        <v>365</v>
      </c>
      <c r="D340" s="12"/>
      <c r="E340" s="13">
        <v>0.28</v>
      </c>
      <c r="F340" s="14">
        <f>+D340*E340/C340*B340</f>
        <v>0</v>
      </c>
      <c r="G340" s="12">
        <f>D340+F340</f>
        <v>0</v>
      </c>
    </row>
    <row r="341" spans="1:7" x14ac:dyDescent="0.25">
      <c r="A341" s="10">
        <v>46626</v>
      </c>
      <c r="B341" s="11">
        <v>44</v>
      </c>
      <c r="C341" s="11">
        <v>365</v>
      </c>
      <c r="D341" s="12"/>
      <c r="E341" s="13">
        <v>0.28</v>
      </c>
      <c r="F341" s="14">
        <f>+D341*E341/C341*B341</f>
        <v>0</v>
      </c>
      <c r="G341" s="12">
        <f>D341+F341</f>
        <v>0</v>
      </c>
    </row>
    <row r="342" spans="1:7" x14ac:dyDescent="0.25">
      <c r="A342" s="10">
        <v>46627</v>
      </c>
      <c r="B342" s="11">
        <v>43</v>
      </c>
      <c r="C342" s="11">
        <v>365</v>
      </c>
      <c r="D342" s="12"/>
      <c r="E342" s="13">
        <v>0.28</v>
      </c>
      <c r="F342" s="14">
        <f>+D342*E342/C342*B342</f>
        <v>0</v>
      </c>
      <c r="G342" s="12">
        <f>D342+F342</f>
        <v>0</v>
      </c>
    </row>
    <row r="343" spans="1:7" x14ac:dyDescent="0.25">
      <c r="A343" s="10">
        <v>46628</v>
      </c>
      <c r="B343" s="11">
        <v>42</v>
      </c>
      <c r="C343" s="11">
        <v>365</v>
      </c>
      <c r="D343" s="12"/>
      <c r="E343" s="13">
        <v>0.28</v>
      </c>
      <c r="F343" s="14">
        <f>+D343*E343/C343*B343</f>
        <v>0</v>
      </c>
      <c r="G343" s="12">
        <f>D343+F343</f>
        <v>0</v>
      </c>
    </row>
    <row r="344" spans="1:7" x14ac:dyDescent="0.25">
      <c r="A344" s="10">
        <v>46629</v>
      </c>
      <c r="B344" s="11">
        <v>41</v>
      </c>
      <c r="C344" s="11">
        <v>365</v>
      </c>
      <c r="D344" s="12"/>
      <c r="E344" s="13">
        <v>0.28</v>
      </c>
      <c r="F344" s="14">
        <f>+D344*E344/C344*B344</f>
        <v>0</v>
      </c>
      <c r="G344" s="12">
        <f>D344+F344</f>
        <v>0</v>
      </c>
    </row>
    <row r="345" spans="1:7" x14ac:dyDescent="0.25">
      <c r="A345" s="10">
        <v>46630</v>
      </c>
      <c r="B345" s="11">
        <v>40</v>
      </c>
      <c r="C345" s="11">
        <v>365</v>
      </c>
      <c r="D345" s="12"/>
      <c r="E345" s="13">
        <v>0.28</v>
      </c>
      <c r="F345" s="14">
        <f>+D345*E345/C345*B345</f>
        <v>0</v>
      </c>
      <c r="G345" s="12">
        <f>D345+F345</f>
        <v>0</v>
      </c>
    </row>
    <row r="346" spans="1:7" x14ac:dyDescent="0.25">
      <c r="A346" s="15" t="s">
        <v>29</v>
      </c>
      <c r="B346" s="15"/>
      <c r="C346" s="15" t="s">
        <v>18</v>
      </c>
      <c r="D346" s="16">
        <f>SUM(D315:D345)</f>
        <v>0</v>
      </c>
      <c r="E346" s="15" t="s">
        <v>19</v>
      </c>
      <c r="F346" s="17">
        <f>SUM(F315:F345)</f>
        <v>0</v>
      </c>
      <c r="G346" s="16">
        <f>SUM(G315:G345)</f>
        <v>0</v>
      </c>
    </row>
    <row r="347" spans="1:7" x14ac:dyDescent="0.25">
      <c r="A347" s="10">
        <v>46631</v>
      </c>
      <c r="B347" s="11">
        <v>39</v>
      </c>
      <c r="C347" s="11">
        <v>365</v>
      </c>
      <c r="D347" s="12"/>
      <c r="E347" s="13">
        <v>0.28</v>
      </c>
      <c r="F347" s="14">
        <f>+D347*E347/C347*B347</f>
        <v>0</v>
      </c>
      <c r="G347" s="12">
        <f>D347+F347</f>
        <v>0</v>
      </c>
    </row>
    <row r="348" spans="1:7" x14ac:dyDescent="0.25">
      <c r="A348" s="10">
        <v>46632</v>
      </c>
      <c r="B348" s="11">
        <v>38</v>
      </c>
      <c r="C348" s="11">
        <v>365</v>
      </c>
      <c r="D348" s="12"/>
      <c r="E348" s="13">
        <v>0.28</v>
      </c>
      <c r="F348" s="14">
        <f>+D348*E348/C348*B348</f>
        <v>0</v>
      </c>
      <c r="G348" s="12">
        <f>D348+F348</f>
        <v>0</v>
      </c>
    </row>
    <row r="349" spans="1:7" x14ac:dyDescent="0.25">
      <c r="A349" s="10">
        <v>46633</v>
      </c>
      <c r="B349" s="11">
        <v>37</v>
      </c>
      <c r="C349" s="11">
        <v>365</v>
      </c>
      <c r="D349" s="12"/>
      <c r="E349" s="13">
        <v>0.28</v>
      </c>
      <c r="F349" s="14">
        <f>+D349*E349/C349*B349</f>
        <v>0</v>
      </c>
      <c r="G349" s="12">
        <f>D349+F349</f>
        <v>0</v>
      </c>
    </row>
    <row r="350" spans="1:7" x14ac:dyDescent="0.25">
      <c r="A350" s="10">
        <v>46634</v>
      </c>
      <c r="B350" s="11">
        <v>36</v>
      </c>
      <c r="C350" s="11">
        <v>365</v>
      </c>
      <c r="D350" s="12"/>
      <c r="E350" s="13">
        <v>0.28</v>
      </c>
      <c r="F350" s="14">
        <f>+D350*E350/C350*B350</f>
        <v>0</v>
      </c>
      <c r="G350" s="12">
        <f>D350+F350</f>
        <v>0</v>
      </c>
    </row>
    <row r="351" spans="1:7" x14ac:dyDescent="0.25">
      <c r="A351" s="10">
        <v>46635</v>
      </c>
      <c r="B351" s="11">
        <v>35</v>
      </c>
      <c r="C351" s="11">
        <v>365</v>
      </c>
      <c r="D351" s="12"/>
      <c r="E351" s="13">
        <v>0.28</v>
      </c>
      <c r="F351" s="14">
        <f>+D351*E351/C351*B351</f>
        <v>0</v>
      </c>
      <c r="G351" s="12">
        <f>D351+F351</f>
        <v>0</v>
      </c>
    </row>
    <row r="352" spans="1:7" x14ac:dyDescent="0.25">
      <c r="A352" s="10">
        <v>46636</v>
      </c>
      <c r="B352" s="11">
        <v>34</v>
      </c>
      <c r="C352" s="11">
        <v>365</v>
      </c>
      <c r="D352" s="12"/>
      <c r="E352" s="13">
        <v>0.28</v>
      </c>
      <c r="F352" s="14">
        <f>+D352*E352/C352*B352</f>
        <v>0</v>
      </c>
      <c r="G352" s="12">
        <f>D352+F352</f>
        <v>0</v>
      </c>
    </row>
    <row r="353" spans="1:7" x14ac:dyDescent="0.25">
      <c r="A353" s="10">
        <v>46637</v>
      </c>
      <c r="B353" s="11">
        <v>33</v>
      </c>
      <c r="C353" s="11">
        <v>365</v>
      </c>
      <c r="D353" s="12"/>
      <c r="E353" s="13">
        <v>0.28</v>
      </c>
      <c r="F353" s="14">
        <f>+D353*E353/C353*B353</f>
        <v>0</v>
      </c>
      <c r="G353" s="12">
        <f>D353+F353</f>
        <v>0</v>
      </c>
    </row>
    <row r="354" spans="1:7" x14ac:dyDescent="0.25">
      <c r="A354" s="10">
        <v>46638</v>
      </c>
      <c r="B354" s="11">
        <v>32</v>
      </c>
      <c r="C354" s="11">
        <v>365</v>
      </c>
      <c r="D354" s="12"/>
      <c r="E354" s="13">
        <v>0.28</v>
      </c>
      <c r="F354" s="14">
        <f>+D354*E354/C354*B354</f>
        <v>0</v>
      </c>
      <c r="G354" s="12">
        <f>D354+F354</f>
        <v>0</v>
      </c>
    </row>
    <row r="355" spans="1:7" x14ac:dyDescent="0.25">
      <c r="A355" s="10">
        <v>46639</v>
      </c>
      <c r="B355" s="11">
        <v>31</v>
      </c>
      <c r="C355" s="11">
        <v>365</v>
      </c>
      <c r="D355" s="12"/>
      <c r="E355" s="13">
        <v>0.28</v>
      </c>
      <c r="F355" s="14">
        <f>+D355*E355/C355*B355</f>
        <v>0</v>
      </c>
      <c r="G355" s="12">
        <f>D355+F355</f>
        <v>0</v>
      </c>
    </row>
    <row r="356" spans="1:7" x14ac:dyDescent="0.25">
      <c r="A356" s="10">
        <v>46640</v>
      </c>
      <c r="B356" s="11">
        <v>30</v>
      </c>
      <c r="C356" s="11">
        <v>365</v>
      </c>
      <c r="D356" s="12"/>
      <c r="E356" s="13">
        <v>0.28</v>
      </c>
      <c r="F356" s="14">
        <f>+D356*E356/C356*B356</f>
        <v>0</v>
      </c>
      <c r="G356" s="12">
        <f>D356+F356</f>
        <v>0</v>
      </c>
    </row>
    <row r="357" spans="1:7" x14ac:dyDescent="0.25">
      <c r="A357" s="10">
        <v>46641</v>
      </c>
      <c r="B357" s="11">
        <v>29</v>
      </c>
      <c r="C357" s="11">
        <v>365</v>
      </c>
      <c r="D357" s="12"/>
      <c r="E357" s="13">
        <v>0.28</v>
      </c>
      <c r="F357" s="14">
        <f>+D357*E357/C357*B357</f>
        <v>0</v>
      </c>
      <c r="G357" s="12">
        <f>D357+F357</f>
        <v>0</v>
      </c>
    </row>
    <row r="358" spans="1:7" x14ac:dyDescent="0.25">
      <c r="A358" s="10">
        <v>46642</v>
      </c>
      <c r="B358" s="11">
        <v>28</v>
      </c>
      <c r="C358" s="11">
        <v>365</v>
      </c>
      <c r="D358" s="12"/>
      <c r="E358" s="13">
        <v>0.28</v>
      </c>
      <c r="F358" s="14">
        <f>+D358*E358/C358*B358</f>
        <v>0</v>
      </c>
      <c r="G358" s="12">
        <f>D358+F358</f>
        <v>0</v>
      </c>
    </row>
    <row r="359" spans="1:7" x14ac:dyDescent="0.25">
      <c r="A359" s="10">
        <v>46643</v>
      </c>
      <c r="B359" s="11">
        <v>27</v>
      </c>
      <c r="C359" s="11">
        <v>365</v>
      </c>
      <c r="D359" s="12"/>
      <c r="E359" s="13">
        <v>0.28</v>
      </c>
      <c r="F359" s="14">
        <f>+D359*E359/C359*B359</f>
        <v>0</v>
      </c>
      <c r="G359" s="12">
        <f>D359+F359</f>
        <v>0</v>
      </c>
    </row>
    <row r="360" spans="1:7" x14ac:dyDescent="0.25">
      <c r="A360" s="10">
        <v>46644</v>
      </c>
      <c r="B360" s="11">
        <v>26</v>
      </c>
      <c r="C360" s="11">
        <v>365</v>
      </c>
      <c r="D360" s="12"/>
      <c r="E360" s="13">
        <v>0.28</v>
      </c>
      <c r="F360" s="14">
        <f>+D360*E360/C360*B360</f>
        <v>0</v>
      </c>
      <c r="G360" s="12">
        <f>D360+F360</f>
        <v>0</v>
      </c>
    </row>
    <row r="361" spans="1:7" x14ac:dyDescent="0.25">
      <c r="A361" s="10">
        <v>46645</v>
      </c>
      <c r="B361" s="11">
        <v>25</v>
      </c>
      <c r="C361" s="11">
        <v>365</v>
      </c>
      <c r="D361" s="12"/>
      <c r="E361" s="13">
        <v>0.28</v>
      </c>
      <c r="F361" s="14">
        <f>+D361*E361/C361*B361</f>
        <v>0</v>
      </c>
      <c r="G361" s="12">
        <f>D361+F361</f>
        <v>0</v>
      </c>
    </row>
    <row r="362" spans="1:7" x14ac:dyDescent="0.25">
      <c r="A362" s="10">
        <v>46646</v>
      </c>
      <c r="B362" s="11">
        <v>24</v>
      </c>
      <c r="C362" s="11">
        <v>365</v>
      </c>
      <c r="D362" s="12"/>
      <c r="E362" s="13">
        <v>0.28</v>
      </c>
      <c r="F362" s="14">
        <f>+D362*E362/C362*B362</f>
        <v>0</v>
      </c>
      <c r="G362" s="12">
        <f>D362+F362</f>
        <v>0</v>
      </c>
    </row>
    <row r="363" spans="1:7" x14ac:dyDescent="0.25">
      <c r="A363" s="10">
        <v>46647</v>
      </c>
      <c r="B363" s="11">
        <v>23</v>
      </c>
      <c r="C363" s="11">
        <v>365</v>
      </c>
      <c r="D363" s="12"/>
      <c r="E363" s="13">
        <v>0.28</v>
      </c>
      <c r="F363" s="14">
        <f>+D363*E363/C363*B363</f>
        <v>0</v>
      </c>
      <c r="G363" s="12">
        <f>D363+F363</f>
        <v>0</v>
      </c>
    </row>
    <row r="364" spans="1:7" x14ac:dyDescent="0.25">
      <c r="A364" s="10">
        <v>46648</v>
      </c>
      <c r="B364" s="11">
        <v>22</v>
      </c>
      <c r="C364" s="11">
        <v>365</v>
      </c>
      <c r="D364" s="12"/>
      <c r="E364" s="13">
        <v>0.28</v>
      </c>
      <c r="F364" s="14">
        <f>+D364*E364/C364*B364</f>
        <v>0</v>
      </c>
      <c r="G364" s="12">
        <f>D364+F364</f>
        <v>0</v>
      </c>
    </row>
    <row r="365" spans="1:7" x14ac:dyDescent="0.25">
      <c r="A365" s="10">
        <v>46649</v>
      </c>
      <c r="B365" s="11">
        <v>21</v>
      </c>
      <c r="C365" s="11">
        <v>365</v>
      </c>
      <c r="D365" s="12"/>
      <c r="E365" s="13">
        <v>0.28</v>
      </c>
      <c r="F365" s="14">
        <f>+D365*E365/C365*B365</f>
        <v>0</v>
      </c>
      <c r="G365" s="12">
        <f>D365+F365</f>
        <v>0</v>
      </c>
    </row>
    <row r="366" spans="1:7" x14ac:dyDescent="0.25">
      <c r="A366" s="10">
        <v>46650</v>
      </c>
      <c r="B366" s="11">
        <v>20</v>
      </c>
      <c r="C366" s="11">
        <v>365</v>
      </c>
      <c r="D366" s="12"/>
      <c r="E366" s="13">
        <v>0.28</v>
      </c>
      <c r="F366" s="14">
        <f>+D366*E366/C366*B366</f>
        <v>0</v>
      </c>
      <c r="G366" s="12">
        <f>D366+F366</f>
        <v>0</v>
      </c>
    </row>
    <row r="367" spans="1:7" x14ac:dyDescent="0.25">
      <c r="A367" s="10">
        <v>46651</v>
      </c>
      <c r="B367" s="11">
        <v>19</v>
      </c>
      <c r="C367" s="11">
        <v>365</v>
      </c>
      <c r="D367" s="12"/>
      <c r="E367" s="13">
        <v>0.28</v>
      </c>
      <c r="F367" s="14">
        <f>+D367*E367/C367*B367</f>
        <v>0</v>
      </c>
      <c r="G367" s="12">
        <f>D367+F367</f>
        <v>0</v>
      </c>
    </row>
    <row r="368" spans="1:7" x14ac:dyDescent="0.25">
      <c r="A368" s="10">
        <v>46652</v>
      </c>
      <c r="B368" s="11">
        <v>18</v>
      </c>
      <c r="C368" s="11">
        <v>365</v>
      </c>
      <c r="D368" s="12"/>
      <c r="E368" s="13">
        <v>0.28</v>
      </c>
      <c r="F368" s="14">
        <f>+D368*E368/C368*B368</f>
        <v>0</v>
      </c>
      <c r="G368" s="12">
        <f>D368+F368</f>
        <v>0</v>
      </c>
    </row>
    <row r="369" spans="1:7" x14ac:dyDescent="0.25">
      <c r="A369" s="10">
        <v>46653</v>
      </c>
      <c r="B369" s="11">
        <v>17</v>
      </c>
      <c r="C369" s="11">
        <v>365</v>
      </c>
      <c r="D369" s="12"/>
      <c r="E369" s="13">
        <v>0.28</v>
      </c>
      <c r="F369" s="14">
        <f>+D369*E369/C369*B369</f>
        <v>0</v>
      </c>
      <c r="G369" s="12">
        <f>D369+F369</f>
        <v>0</v>
      </c>
    </row>
    <row r="370" spans="1:7" x14ac:dyDescent="0.25">
      <c r="A370" s="10">
        <v>46654</v>
      </c>
      <c r="B370" s="11">
        <v>16</v>
      </c>
      <c r="C370" s="11">
        <v>365</v>
      </c>
      <c r="D370" s="12"/>
      <c r="E370" s="13">
        <v>0.28</v>
      </c>
      <c r="F370" s="14">
        <f>+D370*E370/C370*B370</f>
        <v>0</v>
      </c>
      <c r="G370" s="12">
        <f>D370+F370</f>
        <v>0</v>
      </c>
    </row>
    <row r="371" spans="1:7" x14ac:dyDescent="0.25">
      <c r="A371" s="10">
        <v>46655</v>
      </c>
      <c r="B371" s="11">
        <v>15</v>
      </c>
      <c r="C371" s="11">
        <v>365</v>
      </c>
      <c r="D371" s="12"/>
      <c r="E371" s="13">
        <v>0.28</v>
      </c>
      <c r="F371" s="14">
        <f>+D371*E371/C371*B371</f>
        <v>0</v>
      </c>
      <c r="G371" s="12">
        <f>D371+F371</f>
        <v>0</v>
      </c>
    </row>
    <row r="372" spans="1:7" x14ac:dyDescent="0.25">
      <c r="A372" s="10">
        <v>46656</v>
      </c>
      <c r="B372" s="11">
        <v>14</v>
      </c>
      <c r="C372" s="11">
        <v>365</v>
      </c>
      <c r="D372" s="12"/>
      <c r="E372" s="13">
        <v>0.28</v>
      </c>
      <c r="F372" s="14">
        <f>+D372*E372/C372*B372</f>
        <v>0</v>
      </c>
      <c r="G372" s="12">
        <f>D372+F372</f>
        <v>0</v>
      </c>
    </row>
    <row r="373" spans="1:7" x14ac:dyDescent="0.25">
      <c r="A373" s="10">
        <v>46657</v>
      </c>
      <c r="B373" s="11">
        <v>13</v>
      </c>
      <c r="C373" s="11">
        <v>365</v>
      </c>
      <c r="D373" s="12"/>
      <c r="E373" s="13">
        <v>0.28</v>
      </c>
      <c r="F373" s="14">
        <f>+D373*E373/C373*B373</f>
        <v>0</v>
      </c>
      <c r="G373" s="12">
        <f>D373+F373</f>
        <v>0</v>
      </c>
    </row>
    <row r="374" spans="1:7" x14ac:dyDescent="0.25">
      <c r="A374" s="10">
        <v>46658</v>
      </c>
      <c r="B374" s="11">
        <v>12</v>
      </c>
      <c r="C374" s="11">
        <v>365</v>
      </c>
      <c r="D374" s="12"/>
      <c r="E374" s="13">
        <v>0.28</v>
      </c>
      <c r="F374" s="14">
        <f>+D374*E374/C374*B374</f>
        <v>0</v>
      </c>
      <c r="G374" s="12">
        <f>D374+F374</f>
        <v>0</v>
      </c>
    </row>
    <row r="375" spans="1:7" x14ac:dyDescent="0.25">
      <c r="A375" s="10">
        <v>46659</v>
      </c>
      <c r="B375" s="11">
        <v>11</v>
      </c>
      <c r="C375" s="11">
        <v>365</v>
      </c>
      <c r="D375" s="12"/>
      <c r="E375" s="13">
        <v>0.28</v>
      </c>
      <c r="F375" s="14">
        <f>+D375*E375/C375*B375</f>
        <v>0</v>
      </c>
      <c r="G375" s="12">
        <f>D375+F375</f>
        <v>0</v>
      </c>
    </row>
    <row r="376" spans="1:7" x14ac:dyDescent="0.25">
      <c r="A376" s="10">
        <v>46660</v>
      </c>
      <c r="B376" s="11">
        <v>10</v>
      </c>
      <c r="C376" s="11">
        <v>365</v>
      </c>
      <c r="D376" s="12"/>
      <c r="E376" s="13">
        <v>0.28</v>
      </c>
      <c r="F376" s="14">
        <f>+D376*E376/C376*B376</f>
        <v>0</v>
      </c>
      <c r="G376" s="12">
        <f>D376+F376</f>
        <v>0</v>
      </c>
    </row>
    <row r="377" spans="1:7" x14ac:dyDescent="0.25">
      <c r="A377" s="15" t="s">
        <v>30</v>
      </c>
      <c r="B377" s="15"/>
      <c r="C377" s="15" t="s">
        <v>18</v>
      </c>
      <c r="D377" s="16">
        <f>SUM(D347:D376)</f>
        <v>0</v>
      </c>
      <c r="E377" s="15" t="s">
        <v>19</v>
      </c>
      <c r="F377" s="17">
        <f>SUM(F347:F376)</f>
        <v>0</v>
      </c>
      <c r="G377" s="16">
        <f>SUM(G347:G376)</f>
        <v>0</v>
      </c>
    </row>
    <row r="378" spans="1:7" x14ac:dyDescent="0.25">
      <c r="A378" s="10">
        <v>46661</v>
      </c>
      <c r="B378" s="11">
        <v>9</v>
      </c>
      <c r="C378" s="11">
        <v>365</v>
      </c>
      <c r="D378" s="12"/>
      <c r="E378" s="13">
        <v>0.28</v>
      </c>
      <c r="F378" s="14">
        <f>+D378*E378/C378*B378</f>
        <v>0</v>
      </c>
      <c r="G378" s="12">
        <f>D378+F378</f>
        <v>0</v>
      </c>
    </row>
    <row r="379" spans="1:7" x14ac:dyDescent="0.25">
      <c r="A379" s="10">
        <v>46662</v>
      </c>
      <c r="B379" s="11">
        <v>8</v>
      </c>
      <c r="C379" s="11">
        <v>365</v>
      </c>
      <c r="D379" s="12"/>
      <c r="E379" s="13">
        <v>0.28</v>
      </c>
      <c r="F379" s="14">
        <f>+D379*E379/C379*B379</f>
        <v>0</v>
      </c>
      <c r="G379" s="12">
        <f>D379+F379</f>
        <v>0</v>
      </c>
    </row>
    <row r="380" spans="1:7" x14ac:dyDescent="0.25">
      <c r="A380" s="10">
        <v>46663</v>
      </c>
      <c r="B380" s="11">
        <v>7</v>
      </c>
      <c r="C380" s="11">
        <v>365</v>
      </c>
      <c r="D380" s="12"/>
      <c r="E380" s="13">
        <v>0.28</v>
      </c>
      <c r="F380" s="14">
        <f>+D380*E380/C380*B380</f>
        <v>0</v>
      </c>
      <c r="G380" s="12">
        <f>D380+F380</f>
        <v>0</v>
      </c>
    </row>
    <row r="381" spans="1:7" x14ac:dyDescent="0.25">
      <c r="A381" s="10">
        <v>46664</v>
      </c>
      <c r="B381" s="11">
        <v>6</v>
      </c>
      <c r="C381" s="11">
        <v>365</v>
      </c>
      <c r="D381" s="12"/>
      <c r="E381" s="13">
        <v>0.28</v>
      </c>
      <c r="F381" s="14">
        <f>+D381*E381/C381*B381</f>
        <v>0</v>
      </c>
      <c r="G381" s="12">
        <f>D381+F381</f>
        <v>0</v>
      </c>
    </row>
    <row r="382" spans="1:7" x14ac:dyDescent="0.25">
      <c r="A382" s="10">
        <v>46665</v>
      </c>
      <c r="B382" s="11">
        <v>5</v>
      </c>
      <c r="C382" s="11">
        <v>365</v>
      </c>
      <c r="D382" s="12"/>
      <c r="E382" s="13">
        <v>0.28</v>
      </c>
      <c r="F382" s="14">
        <f>+D382*E382/C382*B382</f>
        <v>0</v>
      </c>
      <c r="G382" s="12">
        <f>D382+F382</f>
        <v>0</v>
      </c>
    </row>
    <row r="383" spans="1:7" x14ac:dyDescent="0.25">
      <c r="A383" s="10">
        <v>46666</v>
      </c>
      <c r="B383" s="11">
        <v>4</v>
      </c>
      <c r="C383" s="11">
        <v>365</v>
      </c>
      <c r="D383" s="12"/>
      <c r="E383" s="13">
        <v>0.28</v>
      </c>
      <c r="F383" s="14">
        <f>+D383*E383/C383*B383</f>
        <v>0</v>
      </c>
      <c r="G383" s="12">
        <f>D383+F383</f>
        <v>0</v>
      </c>
    </row>
    <row r="384" spans="1:7" x14ac:dyDescent="0.25">
      <c r="A384" s="10">
        <v>46667</v>
      </c>
      <c r="B384" s="11">
        <v>3</v>
      </c>
      <c r="C384" s="11">
        <v>365</v>
      </c>
      <c r="D384" s="12"/>
      <c r="E384" s="13">
        <v>0.28</v>
      </c>
      <c r="F384" s="14">
        <f>+D384*E384/C384*B384</f>
        <v>0</v>
      </c>
      <c r="G384" s="12">
        <f>D384+F384</f>
        <v>0</v>
      </c>
    </row>
    <row r="385" spans="1:7" x14ac:dyDescent="0.25">
      <c r="A385" s="10">
        <v>46668</v>
      </c>
      <c r="B385" s="11">
        <v>2</v>
      </c>
      <c r="C385" s="11">
        <v>365</v>
      </c>
      <c r="D385" s="12"/>
      <c r="E385" s="13">
        <v>0.28</v>
      </c>
      <c r="F385" s="14">
        <f>+D385*E385/C385*B385</f>
        <v>0</v>
      </c>
      <c r="G385" s="12">
        <f>D385+F385</f>
        <v>0</v>
      </c>
    </row>
    <row r="386" spans="1:7" x14ac:dyDescent="0.25">
      <c r="A386" s="10">
        <v>46669</v>
      </c>
      <c r="B386" s="11">
        <v>1</v>
      </c>
      <c r="C386" s="11">
        <v>365</v>
      </c>
      <c r="D386" s="12"/>
      <c r="E386" s="13">
        <v>0.28</v>
      </c>
      <c r="F386" s="14">
        <f>+D386*E386/C386*B386</f>
        <v>0</v>
      </c>
      <c r="G386" s="12">
        <f>D386+F386</f>
        <v>0</v>
      </c>
    </row>
    <row r="387" spans="1:7" x14ac:dyDescent="0.25">
      <c r="A387" s="15"/>
      <c r="B387" s="15"/>
      <c r="C387" s="15" t="s">
        <v>31</v>
      </c>
      <c r="D387" s="16">
        <f>SUM(D378:D386)</f>
        <v>0</v>
      </c>
      <c r="E387" s="15" t="s">
        <v>19</v>
      </c>
      <c r="F387" s="18">
        <f>SUM(F378:F386)</f>
        <v>0</v>
      </c>
      <c r="G387" s="16">
        <f>SUM(G378:G386)</f>
        <v>0</v>
      </c>
    </row>
    <row r="388" spans="1:7" x14ac:dyDescent="0.25">
      <c r="A388" s="19"/>
      <c r="B388" s="19"/>
      <c r="C388" s="19" t="s">
        <v>32</v>
      </c>
      <c r="D388" s="20">
        <f>D387+D377+D346+D314+D282+D251+D219+D188+D156+D127+D95+D63+D32</f>
        <v>2600</v>
      </c>
      <c r="E388" s="19" t="s">
        <v>33</v>
      </c>
      <c r="F388" s="21">
        <f>F387+F377+F346+F314+F282+F251+F219+F188+F156+F127+F95+F63+F32</f>
        <v>701.1506849315068</v>
      </c>
      <c r="G388" s="20">
        <f>G387+G377+G346+G314+G282+G251+G219+G188+G156+G127+G95+G63+G32</f>
        <v>3301.150684931507</v>
      </c>
    </row>
  </sheetData>
  <mergeCells count="15">
    <mergeCell ref="A1:G1"/>
    <mergeCell ref="A2:C2"/>
    <mergeCell ref="D2:E2"/>
    <mergeCell ref="F2:G7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A8:F8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2026-10-30T08:50:30Z</dcterms:created>
  <dcterms:modified xsi:type="dcterms:W3CDTF">2026-10-30T08:50:30Z</dcterms:modified>
</cp:coreProperties>
</file>